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comments/comment7.xml" ContentType="application/vnd.openxmlformats-officedocument.spreadsheetml.comments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pivotTables/pivotTable2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515" windowHeight="8190" tabRatio="807" firstSheet="10" activeTab="10" autoFilterDateGrouping="1"/>
  </bookViews>
  <sheets>
    <sheet name="Dashboard" sheetId="1" state="visible" r:id="rId1"/>
    <sheet name="สำหรับพี่กรณ์" sheetId="2" state="hidden" r:id="rId2"/>
    <sheet name="%success ทุกเดือน ของเก่า" sheetId="3" state="hidden" r:id="rId3"/>
    <sheet name="Drop down list เดือน ชื่อทีม" sheetId="4" state="hidden" r:id="rId4"/>
    <sheet name="Drop down list สาเหตุที่หยุด" sheetId="5" state="hidden" r:id="rId5"/>
    <sheet name="สาเหตุหยุด&quot;ตามแผน&quot;Yearlyของเก่า" sheetId="6" state="hidden" r:id="rId6"/>
    <sheet name="สาเหตุหยุด&quot;นอกแผน&quot;Yearlyของเก่า" sheetId="7" state="hidden" r:id="rId7"/>
    <sheet name="%success ทุกเดือน" sheetId="8" state="visible" r:id="rId8"/>
    <sheet name="รายการสินค้าหยุดพัฒนา" sheetId="9" state="visible" r:id="rId9"/>
    <sheet name="Checklist" sheetId="10" state="visible" r:id="rId10"/>
    <sheet name="Pivot สรุปข้อมูล" sheetId="11" state="visible" r:id="rId11"/>
    <sheet name="Performance" sheetId="12" state="visible" r:id="rId12"/>
    <sheet name="4 Keys" sheetId="13" state="visible" r:id="rId13"/>
    <sheet name="Sheet2" sheetId="14" state="hidden" r:id="rId14"/>
  </sheets>
  <definedNames>
    <definedName name="CPRAMขอยกเลิก">'Drop down list สาเหตุที่หยุด'!$G$2:$G$9</definedName>
    <definedName name="Merหรือลูกค้าขอยกเลิก">'Drop down list สาเหตุที่หยุด'!$F$2:$F$9</definedName>
    <definedName name="มีConceptจากMktของCPRAMมาให้แต่เสนอConceptแล้วไม่ผ่าน">'Drop down list สาเหตุที่หยุด'!$B$2:$B$9</definedName>
    <definedName name="มีConceptจากลูกค้ามาให้แต่เสนอConceptแล้วไม่ผ่าน">'Drop down list สาเหตุที่หยุด'!$C$2:$C$9</definedName>
    <definedName name="ไม่ผ่านในขั้นตอนScreenTest">'Drop down list สาเหตุที่หยุด'!$E$2:$E$9</definedName>
    <definedName name="ไม่มีConceptแต่เสนอสินค้าแล้วไม่ผ่าน">'Drop down list สาเหตุที่หยุด'!$D$2:$D$9</definedName>
    <definedName name="อื่นๆ">'Drop down list สาเหตุที่หยุด'!$H$2:$H$9</definedName>
  </definedNames>
  <calcPr calcId="191028" fullCalcOnLoad="1" calcCompleted="0"/>
  <pivotCaches>
    <pivotCache cacheId="2" r:id="rId15"/>
  </pivotCaches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B1mmm\-yy"/>
    <numFmt numFmtId="166" formatCode="_(* #,##0.00_);[Red]_(* \(#,##0.00\);_(* &quot;-&quot;_);_(@_)"/>
    <numFmt numFmtId="167" formatCode="0.000"/>
    <numFmt numFmtId="168" formatCode="#,##0_ ;[Red]\-#,##0\ "/>
    <numFmt numFmtId="169" formatCode="dd/mm/yyyy;@"/>
  </numFmts>
  <fonts count="98">
    <font>
      <name val="Tahoma"/>
      <charset val="222"/>
      <family val="2"/>
      <color theme="1"/>
      <sz val="11"/>
      <scheme val="minor"/>
    </font>
    <font>
      <name val="Tahoma"/>
      <family val="2"/>
      <b val="1"/>
      <color theme="1"/>
      <sz val="10"/>
      <scheme val="minor"/>
    </font>
    <font>
      <name val="Tahoma"/>
      <charset val="222"/>
      <family val="2"/>
      <b val="1"/>
      <sz val="9"/>
    </font>
    <font>
      <name val="Tahoma"/>
      <charset val="222"/>
      <family val="2"/>
      <color theme="1"/>
      <sz val="10"/>
    </font>
    <font>
      <name val="Tahoma"/>
      <charset val="222"/>
      <family val="2"/>
      <sz val="11"/>
      <scheme val="minor"/>
    </font>
    <font>
      <name val="Tahoma"/>
      <charset val="222"/>
      <family val="2"/>
      <b val="1"/>
      <sz val="8"/>
    </font>
    <font>
      <name val="Tahoma"/>
      <charset val="222"/>
      <family val="2"/>
      <color rgb="FFFF0000"/>
      <sz val="11"/>
      <scheme val="minor"/>
    </font>
    <font>
      <name val="Tahoma"/>
      <charset val="222"/>
      <family val="2"/>
      <color theme="1"/>
      <sz val="10"/>
      <scheme val="minor"/>
    </font>
    <font>
      <name val="Tahoma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name val="Tahoma"/>
      <family val="2"/>
      <color rgb="FF000000"/>
      <sz val="11"/>
      <scheme val="minor"/>
    </font>
    <font>
      <name val="Tahoma"/>
      <family val="2"/>
      <b val="1"/>
      <color theme="1"/>
      <sz val="8"/>
      <scheme val="minor"/>
    </font>
    <font>
      <name val="Tahoma"/>
      <family val="2"/>
      <color theme="1"/>
      <sz val="16"/>
      <scheme val="minor"/>
    </font>
    <font>
      <name val="Tahoma"/>
      <family val="2"/>
      <color rgb="FF00B050"/>
      <sz val="11"/>
      <scheme val="minor"/>
    </font>
    <font>
      <name val="Tahoma"/>
      <family val="2"/>
      <b val="1"/>
      <color rgb="FF00B050"/>
      <sz val="11"/>
      <scheme val="minor"/>
    </font>
    <font>
      <name val="Tahoma"/>
      <charset val="222"/>
      <family val="2"/>
      <color theme="1"/>
      <sz val="14"/>
      <scheme val="minor"/>
    </font>
    <font>
      <name val="Tahoma"/>
      <family val="2"/>
      <b val="1"/>
      <color rgb="FF0E30F0"/>
      <sz val="9"/>
      <scheme val="minor"/>
    </font>
    <font>
      <name val="Tahoma"/>
      <charset val="222"/>
      <family val="2"/>
      <color rgb="FF0E30F0"/>
      <sz val="11"/>
      <scheme val="minor"/>
    </font>
    <font>
      <name val="Tahoma"/>
      <family val="2"/>
      <sz val="11"/>
      <scheme val="minor"/>
    </font>
    <font>
      <name val="Tahoma"/>
      <family val="2"/>
      <b val="1"/>
      <color rgb="FF0E30F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b val="1"/>
      <color rgb="FFFF0000"/>
      <sz val="11"/>
      <scheme val="minor"/>
    </font>
    <font>
      <name val="Tahoma"/>
      <family val="2"/>
      <b val="1"/>
      <sz val="11"/>
      <scheme val="minor"/>
    </font>
    <font>
      <name val="Tahoma"/>
      <family val="2"/>
      <color theme="1"/>
      <sz val="9"/>
      <scheme val="minor"/>
    </font>
    <font>
      <name val="Tahoma"/>
      <charset val="222"/>
      <family val="2"/>
      <color theme="1"/>
      <sz val="8"/>
      <scheme val="minor"/>
    </font>
    <font>
      <name val="Arial"/>
      <family val="2"/>
      <sz val="10"/>
    </font>
    <font>
      <name val="Tahoma"/>
      <charset val="222"/>
      <family val="2"/>
      <color rgb="FF000000"/>
      <sz val="11"/>
      <scheme val="minor"/>
    </font>
    <font>
      <name val="Arial"/>
      <family val="2"/>
      <color rgb="FF000000"/>
      <sz val="8"/>
    </font>
    <font>
      <name val="Tahoma"/>
      <family val="2"/>
      <b val="1"/>
      <color rgb="FFF13BD7"/>
      <sz val="14"/>
      <scheme val="minor"/>
    </font>
    <font>
      <name val="Tahoma"/>
      <family val="2"/>
      <b val="1"/>
      <color rgb="FF000000"/>
      <sz val="11"/>
      <scheme val="minor"/>
    </font>
    <font>
      <name val="Tahoma"/>
      <charset val="222"/>
      <family val="2"/>
      <b val="1"/>
      <sz val="11"/>
      <scheme val="minor"/>
    </font>
    <font>
      <name val="Tahoma"/>
      <charset val="222"/>
      <family val="2"/>
      <color theme="1"/>
      <sz val="9"/>
      <scheme val="minor"/>
    </font>
    <font>
      <name val="Tahoma"/>
      <charset val="222"/>
      <family val="2"/>
      <b val="1"/>
      <sz val="6"/>
    </font>
    <font>
      <name val="Tahoma"/>
      <family val="2"/>
      <color theme="1"/>
      <sz val="10"/>
      <scheme val="minor"/>
    </font>
    <font>
      <name val="Tahoma"/>
      <family val="2"/>
      <b val="1"/>
      <color theme="3" tint="-0.499984740745262"/>
      <sz val="11"/>
      <scheme val="minor"/>
    </font>
    <font>
      <name val="Tahoma"/>
      <family val="2"/>
      <color theme="3"/>
      <sz val="11"/>
      <scheme val="minor"/>
    </font>
    <font>
      <name val="Tahoma"/>
      <charset val="222"/>
      <family val="2"/>
      <sz val="8"/>
      <scheme val="minor"/>
    </font>
    <font>
      <name val="Tahoma"/>
      <charset val="222"/>
      <family val="2"/>
      <sz val="10"/>
      <scheme val="minor"/>
    </font>
    <font>
      <name val="Tahoma"/>
      <charset val="222"/>
      <family val="2"/>
      <color rgb="FF00B0F0"/>
      <sz val="11"/>
      <scheme val="minor"/>
    </font>
    <font>
      <name val="Tahoma"/>
      <charset val="222"/>
      <family val="2"/>
      <color rgb="FF9926CC"/>
      <sz val="11"/>
      <scheme val="minor"/>
    </font>
    <font>
      <name val="Tahoma"/>
      <family val="2"/>
      <color indexed="81"/>
      <sz val="8"/>
    </font>
    <font>
      <name val="Tahoma"/>
      <charset val="222"/>
      <family val="2"/>
      <b val="1"/>
      <sz val="6"/>
      <scheme val="minor"/>
    </font>
    <font>
      <name val="Tahoma"/>
      <family val="2"/>
      <color theme="1"/>
      <sz val="10"/>
    </font>
    <font>
      <name val="Tahoma"/>
      <family val="2"/>
      <color theme="1"/>
      <sz val="9"/>
    </font>
    <font>
      <name val="Tahoma"/>
      <family val="2"/>
      <sz val="10"/>
      <scheme val="minor"/>
    </font>
    <font>
      <name val="Tahoma"/>
      <family val="2"/>
      <b val="1"/>
      <color theme="3" tint="-0.499984740745262"/>
      <sz val="9"/>
      <scheme val="minor"/>
    </font>
    <font>
      <name val="Tahoma"/>
      <family val="2"/>
      <b val="1"/>
      <color rgb="FFFF0000"/>
      <sz val="9"/>
      <scheme val="minor"/>
    </font>
    <font>
      <name val="Tahoma"/>
      <family val="2"/>
      <sz val="8"/>
    </font>
    <font>
      <name val="Tahoma"/>
      <charset val="222"/>
      <family val="2"/>
      <sz val="9"/>
      <scheme val="minor"/>
    </font>
    <font>
      <name val="Times New Roman"/>
      <family val="1"/>
      <sz val="13.5"/>
    </font>
    <font>
      <name val="Tahoma"/>
      <family val="2"/>
      <b val="1"/>
      <color rgb="FF000000"/>
      <sz val="11"/>
      <scheme val="major"/>
    </font>
    <font>
      <name val="Tahoma"/>
      <charset val="222"/>
      <family val="2"/>
      <b val="1"/>
      <color rgb="FF000000"/>
      <sz val="9"/>
    </font>
    <font>
      <name val="Browallia New"/>
      <family val="2"/>
      <b val="1"/>
      <color rgb="FF000000"/>
      <sz val="10"/>
    </font>
    <font>
      <name val="Tahoma"/>
      <family val="2"/>
      <color rgb="FF000000"/>
      <sz val="8"/>
    </font>
    <font>
      <name val="Arial"/>
      <family val="2"/>
      <sz val="8"/>
    </font>
    <font>
      <name val="Times New Roman"/>
      <family val="1"/>
      <color rgb="FF000000"/>
      <sz val="8"/>
    </font>
    <font>
      <name val="Tahoma"/>
      <family val="2"/>
      <color theme="1"/>
      <sz val="16"/>
    </font>
    <font>
      <name val="Tahoma"/>
      <family val="2"/>
      <sz val="10"/>
    </font>
    <font>
      <name val="Tahoma"/>
      <family val="2"/>
      <color theme="1"/>
      <sz val="8"/>
    </font>
    <font>
      <name val="Times New Roman"/>
      <family val="1"/>
      <sz val="10"/>
    </font>
    <font>
      <name val="Tahoma"/>
      <family val="2"/>
      <color theme="1"/>
      <sz val="8"/>
    </font>
    <font>
      <name val="Tahoma"/>
      <family val="2"/>
      <b val="1"/>
      <sz val="8"/>
    </font>
    <font>
      <name val="Calibri"/>
      <family val="2"/>
      <color rgb="FF000000"/>
      <sz val="10"/>
    </font>
    <font>
      <name val="Tahoma"/>
      <sz val="8"/>
    </font>
    <font>
      <name val="Times New Roman"/>
      <sz val="13.5"/>
    </font>
    <font>
      <name val="Tahoma"/>
      <sz val="8"/>
      <scheme val="minor"/>
    </font>
    <font>
      <name val="Tahoma"/>
      <sz val="11"/>
      <scheme val="minor"/>
    </font>
    <font>
      <name val="Tahoma"/>
      <charset val="222"/>
      <color indexed="81"/>
      <sz val="9"/>
    </font>
    <font>
      <name val="Tahoma"/>
      <charset val="222"/>
      <b val="1"/>
      <color indexed="81"/>
      <sz val="9"/>
    </font>
    <font>
      <name val="Tahoma"/>
      <charset val="222"/>
      <family val="2"/>
      <b val="1"/>
      <color rgb="FF000000"/>
      <sz val="11"/>
      <scheme val="minor"/>
    </font>
    <font>
      <name val="Arial"/>
      <color rgb="FF000000"/>
      <sz val="8"/>
    </font>
    <font>
      <name val="Arial"/>
      <color theme="1"/>
      <sz val="8"/>
    </font>
    <font>
      <name val="Tahoma"/>
      <charset val="222"/>
      <family val="2"/>
      <b val="1"/>
      <color theme="1"/>
      <sz val="11"/>
      <scheme val="minor"/>
    </font>
    <font>
      <name val="Browallia New"/>
      <family val="2"/>
      <color theme="1"/>
      <sz val="14"/>
    </font>
    <font>
      <name val="Times New Roman"/>
      <family val="1"/>
      <b val="1"/>
      <color rgb="FF000000"/>
      <sz val="8"/>
    </font>
    <font>
      <name val="Times New Roman"/>
      <sz val="8"/>
    </font>
    <font>
      <name val="Tahoma"/>
      <color theme="1"/>
      <sz val="10"/>
    </font>
    <font>
      <name val="Tahoma"/>
      <color theme="1"/>
      <sz val="9"/>
    </font>
    <font>
      <name val="Tahoma"/>
      <sz val="10"/>
      <scheme val="minor"/>
    </font>
    <font>
      <name val="Tahoma"/>
      <sz val="11"/>
    </font>
    <font>
      <name val="Tahoma"/>
      <color rgb="FF000000"/>
      <sz val="8"/>
    </font>
    <font>
      <name val="Tahoma"/>
      <color rgb="FFFF0000"/>
      <sz val="11"/>
      <scheme val="minor"/>
    </font>
    <font>
      <name val="Times New Roman"/>
      <sz val="10"/>
    </font>
    <font>
      <name val="Tahoma"/>
      <color theme="1"/>
      <sz val="8"/>
    </font>
    <font>
      <name val="Tahoma (Body)"/>
      <color rgb="FF000000"/>
      <sz val="8"/>
    </font>
    <font>
      <name val="Tahoma (Body)"/>
      <sz val="8"/>
    </font>
    <font>
      <name val="Arial"/>
      <family val="2"/>
      <color theme="1"/>
      <sz val="9"/>
    </font>
    <font>
      <name val="Arial"/>
      <family val="2"/>
      <b val="1"/>
      <sz val="9"/>
    </font>
    <font>
      <name val="Tahoma"/>
      <sz val="9"/>
    </font>
    <font>
      <name val="Tahoma"/>
      <color rgb="FF000000"/>
      <sz val="9"/>
    </font>
    <font>
      <name val="Tahoma"/>
      <color rgb="FF242424"/>
      <sz val="9"/>
    </font>
    <font>
      <name val="Arial"/>
      <color theme="1"/>
      <sz val="9"/>
    </font>
    <font>
      <name val="Tahoma"/>
      <sz val="10"/>
    </font>
    <font>
      <name val="Aptos Narrow"/>
      <charset val="1"/>
      <color rgb="FF242424"/>
      <sz val="10"/>
    </font>
    <font>
      <name val="Calibri"/>
      <charset val="222"/>
      <family val="2"/>
      <sz val="11"/>
      <scheme val="minor"/>
    </font>
    <font>
      <b val="1"/>
      <sz val="16"/>
    </font>
    <font>
      <b val="1"/>
    </font>
  </fonts>
  <fills count="38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8CCFF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ADDFF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C298E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90E0FC"/>
        <bgColor indexed="64"/>
      </patternFill>
    </fill>
    <fill>
      <patternFill patternType="solid">
        <fgColor rgb="FF16B6F0"/>
        <bgColor indexed="64"/>
      </patternFill>
    </fill>
    <fill>
      <patternFill patternType="solid">
        <fgColor rgb="FF5ECEF7"/>
        <bgColor indexed="64"/>
      </patternFill>
    </fill>
    <fill>
      <patternFill patternType="solid">
        <fgColor rgb="FF3092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00FFD966"/>
      </patternFill>
    </fill>
  </fills>
  <borders count="1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5" tint="0.3999755851924192"/>
      </left>
      <right style="thin">
        <color theme="5" tint="0.3999755851924192"/>
      </right>
      <top style="thin">
        <color theme="5" tint="0.3999755851924192"/>
      </top>
      <bottom/>
      <diagonal/>
    </border>
    <border>
      <left style="thin">
        <color theme="5" tint="0.3999755851924192"/>
      </left>
      <right/>
      <top style="thin">
        <color theme="5" tint="0.3999755851924192"/>
      </top>
      <bottom/>
      <diagonal/>
    </border>
    <border>
      <left/>
      <right style="thin">
        <color theme="5" tint="0.3999755851924192"/>
      </right>
      <top style="thin">
        <color theme="5" tint="0.3999755851924192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000000"/>
      </bottom>
      <diagonal/>
    </border>
    <border>
      <left style="thin">
        <color rgb="FFABABAB"/>
      </left>
      <right/>
      <top/>
      <bottom/>
      <diagonal/>
    </border>
    <border>
      <left/>
      <right/>
      <top style="thin">
        <color theme="6" tint="0.3999755851924192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000000"/>
      </right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6" tint="0.3999755851924192"/>
      </top>
      <bottom/>
      <diagonal/>
    </border>
    <border>
      <left/>
      <right style="thin">
        <color rgb="FF000000"/>
      </right>
      <top style="thin">
        <color rgb="FFABABAB"/>
      </top>
      <bottom/>
      <diagonal/>
    </border>
    <border>
      <left style="thin">
        <color rgb="FF000000"/>
      </left>
      <right/>
      <top style="thin">
        <color rgb="FFABABAB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ABABAB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">
    <xf numFmtId="0" fontId="0" fillId="0" borderId="0"/>
    <xf numFmtId="0" fontId="3" fillId="0" borderId="0"/>
    <xf numFmtId="0" fontId="26" fillId="0" borderId="0"/>
    <xf numFmtId="0" fontId="26" fillId="0" borderId="0"/>
  </cellStyleXfs>
  <cellXfs count="90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9" fillId="2" borderId="19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9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0" fontId="8" fillId="3" borderId="0" pivotButton="0" quotePrefix="0" xfId="0"/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3" fillId="0" borderId="0" pivotButton="0" quotePrefix="0" xfId="0"/>
    <xf numFmtId="0" fontId="8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5" fillId="0" borderId="0" pivotButton="0" quotePrefix="0" xfId="0"/>
    <xf numFmtId="2" fontId="19" fillId="0" borderId="27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1" fontId="9" fillId="0" borderId="28" applyAlignment="1" pivotButton="0" quotePrefix="0" xfId="0">
      <alignment horizontal="center" vertical="center"/>
    </xf>
    <xf numFmtId="0" fontId="0" fillId="0" borderId="14" pivotButton="0" quotePrefix="0" xfId="0"/>
    <xf numFmtId="0" fontId="17" fillId="0" borderId="1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/>
    </xf>
    <xf numFmtId="0" fontId="17" fillId="0" borderId="14" applyAlignment="1" pivotButton="0" quotePrefix="1" xfId="0">
      <alignment horizontal="center"/>
    </xf>
    <xf numFmtId="0" fontId="0" fillId="0" borderId="29" pivotButton="0" quotePrefix="0" xfId="0"/>
    <xf numFmtId="0" fontId="17" fillId="0" borderId="29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23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2" fontId="23" fillId="3" borderId="1" applyAlignment="1" pivotButton="0" quotePrefix="0" xfId="0">
      <alignment horizontal="center" vertical="center"/>
    </xf>
    <xf numFmtId="0" fontId="18" fillId="3" borderId="0" pivotButton="0" quotePrefix="0" xfId="0"/>
    <xf numFmtId="2" fontId="9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applyAlignment="1" pivotButton="0" quotePrefix="0" xfId="0">
      <alignment horizontal="center" vertical="center"/>
    </xf>
    <xf numFmtId="0" fontId="17" fillId="0" borderId="13" applyAlignment="1" pivotButton="0" quotePrefix="1" xfId="0">
      <alignment horizontal="center"/>
    </xf>
    <xf numFmtId="0" fontId="2" fillId="9" borderId="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9" fillId="8" borderId="4" applyAlignment="1" pivotButton="0" quotePrefix="0" xfId="0">
      <alignment vertical="center"/>
    </xf>
    <xf numFmtId="0" fontId="8" fillId="0" borderId="1" applyAlignment="1" pivotButton="0" quotePrefix="0" xfId="0">
      <alignment horizontal="left" vertical="center" wrapText="1"/>
    </xf>
    <xf numFmtId="0" fontId="27" fillId="0" borderId="14" pivotButton="0" quotePrefix="0" xfId="0"/>
    <xf numFmtId="0" fontId="10" fillId="0" borderId="14" pivotButton="0" quotePrefix="0" xfId="0"/>
    <xf numFmtId="0" fontId="27" fillId="0" borderId="13" pivotButton="0" quotePrefix="0" xfId="0"/>
    <xf numFmtId="0" fontId="27" fillId="0" borderId="39" pivotButton="0" quotePrefix="0" xfId="0"/>
    <xf numFmtId="0" fontId="9" fillId="10" borderId="4" applyAlignment="1" pivotButton="0" quotePrefix="0" xfId="0">
      <alignment horizontal="center" vertical="center"/>
    </xf>
    <xf numFmtId="0" fontId="27" fillId="0" borderId="40" pivotButton="0" quotePrefix="0" xfId="0"/>
    <xf numFmtId="0" fontId="27" fillId="0" borderId="0" pivotButton="0" quotePrefix="0" xfId="0"/>
    <xf numFmtId="0" fontId="8" fillId="5" borderId="1" pivotButton="0" quotePrefix="0" xfId="0"/>
    <xf numFmtId="0" fontId="9" fillId="5" borderId="1" applyAlignment="1" pivotButton="0" quotePrefix="0" xfId="0">
      <alignment horizontal="center" vertical="center"/>
    </xf>
    <xf numFmtId="2" fontId="23" fillId="5" borderId="1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2" fontId="9" fillId="5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0" fontId="29" fillId="0" borderId="0" pivotButton="0" quotePrefix="0" xfId="0"/>
    <xf numFmtId="0" fontId="9" fillId="0" borderId="32" applyAlignment="1" pivotButton="0" quotePrefix="0" xfId="0">
      <alignment horizontal="center" vertical="center"/>
    </xf>
    <xf numFmtId="0" fontId="1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0" fontId="9" fillId="11" borderId="4" applyAlignment="1" pivotButton="0" quotePrefix="0" xfId="0">
      <alignment horizontal="center" vertical="center"/>
    </xf>
    <xf numFmtId="0" fontId="0" fillId="0" borderId="56" pivotButton="0" quotePrefix="0" xfId="0"/>
    <xf numFmtId="0" fontId="10" fillId="0" borderId="39" pivotButton="0" quotePrefix="0" xfId="0"/>
    <xf numFmtId="0" fontId="6" fillId="0" borderId="0" pivotButton="0" quotePrefix="0" xfId="0"/>
    <xf numFmtId="2" fontId="18" fillId="3" borderId="0" pivotButton="0" quotePrefix="0" xfId="0"/>
    <xf numFmtId="0" fontId="4" fillId="0" borderId="14" pivotButton="0" quotePrefix="0" xfId="0"/>
    <xf numFmtId="0" fontId="4" fillId="0" borderId="7" applyAlignment="1" pivotButton="0" quotePrefix="0" xfId="0">
      <alignment horizontal="center" vertical="center"/>
    </xf>
    <xf numFmtId="0" fontId="4" fillId="0" borderId="52" pivotButton="0" quotePrefix="0" xfId="0"/>
    <xf numFmtId="1" fontId="9" fillId="0" borderId="55" applyAlignment="1" pivotButton="0" quotePrefix="0" xfId="0">
      <alignment horizontal="center" vertical="center"/>
    </xf>
    <xf numFmtId="1" fontId="9" fillId="0" borderId="5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/>
    </xf>
    <xf numFmtId="0" fontId="0" fillId="0" borderId="13" pivotButton="0" quotePrefix="0" xfId="0"/>
    <xf numFmtId="0" fontId="0" fillId="0" borderId="6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/>
    </xf>
    <xf numFmtId="0" fontId="17" fillId="0" borderId="62" applyAlignment="1" pivotButton="0" quotePrefix="0" xfId="0">
      <alignment horizontal="center"/>
    </xf>
    <xf numFmtId="0" fontId="0" fillId="0" borderId="19" applyAlignment="1" pivotButton="0" quotePrefix="0" xfId="0">
      <alignment horizontal="center" vertical="center"/>
    </xf>
    <xf numFmtId="0" fontId="0" fillId="0" borderId="63" applyAlignment="1" pivotButton="0" quotePrefix="0" xfId="0">
      <alignment horizontal="center" vertical="center"/>
    </xf>
    <xf numFmtId="0" fontId="31" fillId="3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/>
    </xf>
    <xf numFmtId="0" fontId="17" fillId="0" borderId="18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17" fillId="0" borderId="18" applyAlignment="1" pivotButton="0" quotePrefix="1" xfId="0">
      <alignment horizontal="center"/>
    </xf>
    <xf numFmtId="0" fontId="17" fillId="0" borderId="60" applyAlignment="1" pivotButton="0" quotePrefix="1" xfId="0">
      <alignment horizontal="center"/>
    </xf>
    <xf numFmtId="0" fontId="17" fillId="0" borderId="6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11" fillId="5" borderId="23" applyAlignment="1" pivotButton="0" quotePrefix="0" xfId="0">
      <alignment horizontal="center" vertical="center"/>
    </xf>
    <xf numFmtId="0" fontId="11" fillId="5" borderId="2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/>
    </xf>
    <xf numFmtId="0" fontId="17" fillId="0" borderId="26" applyAlignment="1" pivotButton="0" quotePrefix="0" xfId="0">
      <alignment horizontal="center"/>
    </xf>
    <xf numFmtId="0" fontId="17" fillId="0" borderId="72" applyAlignment="1" pivotButton="0" quotePrefix="0" xfId="0">
      <alignment horizontal="center"/>
    </xf>
    <xf numFmtId="0" fontId="17" fillId="0" borderId="11" applyAlignment="1" pivotButton="0" quotePrefix="0" xfId="0">
      <alignment horizontal="center"/>
    </xf>
    <xf numFmtId="0" fontId="0" fillId="0" borderId="75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/>
    </xf>
    <xf numFmtId="0" fontId="17" fillId="0" borderId="80" applyAlignment="1" pivotButton="0" quotePrefix="0" xfId="0">
      <alignment horizontal="center"/>
    </xf>
    <xf numFmtId="0" fontId="17" fillId="0" borderId="1" applyAlignment="1" pivotButton="0" quotePrefix="1" xfId="0">
      <alignment horizontal="center"/>
    </xf>
    <xf numFmtId="0" fontId="17" fillId="0" borderId="2" applyAlignment="1" pivotButton="0" quotePrefix="0" xfId="0">
      <alignment horizontal="center"/>
    </xf>
    <xf numFmtId="0" fontId="0" fillId="0" borderId="78" pivotButton="0" quotePrefix="0" xfId="0"/>
    <xf numFmtId="0" fontId="27" fillId="0" borderId="78" pivotButton="0" quotePrefix="0" xfId="0"/>
    <xf numFmtId="0" fontId="4" fillId="0" borderId="78" pivotButton="0" quotePrefix="0" xfId="0"/>
    <xf numFmtId="0" fontId="10" fillId="0" borderId="78" pivotButton="0" quotePrefix="0" xfId="0"/>
    <xf numFmtId="0" fontId="27" fillId="0" borderId="83" pivotButton="0" quotePrefix="0" xfId="0"/>
    <xf numFmtId="0" fontId="0" fillId="0" borderId="83" pivotButton="0" quotePrefix="0" xfId="0"/>
    <xf numFmtId="0" fontId="0" fillId="0" borderId="84" pivotButton="0" quotePrefix="0" xfId="0"/>
    <xf numFmtId="0" fontId="17" fillId="0" borderId="24" applyAlignment="1" pivotButton="0" quotePrefix="0" xfId="0">
      <alignment horizontal="center"/>
    </xf>
    <xf numFmtId="0" fontId="17" fillId="0" borderId="19" applyAlignment="1" pivotButton="0" quotePrefix="0" xfId="0">
      <alignment horizontal="center"/>
    </xf>
    <xf numFmtId="0" fontId="17" fillId="0" borderId="7" applyAlignment="1" pivotButton="0" quotePrefix="0" xfId="0">
      <alignment horizontal="center"/>
    </xf>
    <xf numFmtId="0" fontId="17" fillId="0" borderId="7" applyAlignment="1" pivotButton="0" quotePrefix="1" xfId="0">
      <alignment horizontal="center"/>
    </xf>
    <xf numFmtId="0" fontId="17" fillId="0" borderId="8" applyAlignment="1" pivotButton="0" quotePrefix="0" xfId="0">
      <alignment horizontal="center"/>
    </xf>
    <xf numFmtId="0" fontId="17" fillId="0" borderId="63" applyAlignment="1" pivotButton="0" quotePrefix="0" xfId="0">
      <alignment horizontal="center"/>
    </xf>
    <xf numFmtId="1" fontId="9" fillId="0" borderId="22" applyAlignment="1" pivotButton="0" quotePrefix="0" xfId="0">
      <alignment horizontal="center" vertical="center"/>
    </xf>
    <xf numFmtId="1" fontId="19" fillId="0" borderId="51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 vertical="center"/>
    </xf>
    <xf numFmtId="0" fontId="19" fillId="2" borderId="73" applyAlignment="1" pivotButton="0" quotePrefix="0" xfId="0">
      <alignment horizontal="center" vertical="center"/>
    </xf>
    <xf numFmtId="0" fontId="19" fillId="2" borderId="19" applyAlignment="1" pivotButton="0" quotePrefix="0" xfId="0">
      <alignment horizontal="center" vertical="center"/>
    </xf>
    <xf numFmtId="0" fontId="19" fillId="2" borderId="11" applyAlignment="1" pivotButton="0" quotePrefix="0" xfId="0">
      <alignment horizontal="center" vertical="center"/>
    </xf>
    <xf numFmtId="0" fontId="19" fillId="2" borderId="48" applyAlignment="1" pivotButton="0" quotePrefix="0" xfId="0">
      <alignment horizontal="center" vertical="center"/>
    </xf>
    <xf numFmtId="0" fontId="19" fillId="2" borderId="36" applyAlignment="1" pivotButton="0" quotePrefix="0" xfId="0">
      <alignment horizontal="center" vertical="center"/>
    </xf>
    <xf numFmtId="0" fontId="17" fillId="0" borderId="10" applyAlignment="1" pivotButton="0" quotePrefix="1" xfId="0">
      <alignment horizontal="center"/>
    </xf>
    <xf numFmtId="0" fontId="17" fillId="0" borderId="72" applyAlignment="1" pivotButton="0" quotePrefix="1" xfId="0">
      <alignment horizontal="center"/>
    </xf>
    <xf numFmtId="1" fontId="19" fillId="0" borderId="27" applyAlignment="1" pivotButton="0" quotePrefix="0" xfId="0">
      <alignment horizontal="center" vertical="center"/>
    </xf>
    <xf numFmtId="0" fontId="11" fillId="5" borderId="89" applyAlignment="1" pivotButton="0" quotePrefix="0" xfId="0">
      <alignment horizontal="center" vertical="center"/>
    </xf>
    <xf numFmtId="0" fontId="0" fillId="0" borderId="90" applyAlignment="1" pivotButton="0" quotePrefix="0" xfId="0">
      <alignment horizontal="center" vertical="center"/>
    </xf>
    <xf numFmtId="0" fontId="9" fillId="0" borderId="91" applyAlignment="1" pivotButton="0" quotePrefix="0" xfId="0">
      <alignment horizontal="center" vertical="center"/>
    </xf>
    <xf numFmtId="0" fontId="19" fillId="0" borderId="92" applyAlignment="1" pivotButton="0" quotePrefix="0" xfId="0">
      <alignment horizontal="center" vertical="center"/>
    </xf>
    <xf numFmtId="0" fontId="9" fillId="0" borderId="92" applyAlignment="1" pivotButton="0" quotePrefix="0" xfId="0">
      <alignment horizontal="center" vertical="center"/>
    </xf>
    <xf numFmtId="0" fontId="9" fillId="0" borderId="93" applyAlignment="1" pivotButton="0" quotePrefix="0" xfId="0">
      <alignment horizontal="center" vertical="center"/>
    </xf>
    <xf numFmtId="0" fontId="19" fillId="0" borderId="94" applyAlignment="1" pivotButton="0" quotePrefix="0" xfId="0">
      <alignment horizontal="center" vertical="center"/>
    </xf>
    <xf numFmtId="0" fontId="11" fillId="12" borderId="19" applyAlignment="1" pivotButton="0" quotePrefix="0" xfId="0">
      <alignment horizontal="center" vertical="center"/>
    </xf>
    <xf numFmtId="0" fontId="0" fillId="12" borderId="2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/>
    </xf>
    <xf numFmtId="0" fontId="8" fillId="12" borderId="1" applyAlignment="1" pivotButton="0" quotePrefix="0" xfId="0">
      <alignment horizontal="center" vertical="center"/>
    </xf>
    <xf numFmtId="0" fontId="4" fillId="12" borderId="8" applyAlignment="1" pivotButton="0" quotePrefix="0" xfId="0">
      <alignment horizontal="center" vertical="center"/>
    </xf>
    <xf numFmtId="0" fontId="4" fillId="12" borderId="30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2" borderId="19" applyAlignment="1" pivotButton="0" quotePrefix="0" xfId="0">
      <alignment horizontal="center" vertical="center"/>
    </xf>
    <xf numFmtId="0" fontId="9" fillId="12" borderId="33" applyAlignment="1" pivotButton="0" quotePrefix="0" xfId="0">
      <alignment horizontal="center" vertical="center"/>
    </xf>
    <xf numFmtId="0" fontId="11" fillId="13" borderId="19" applyAlignment="1" pivotButton="0" quotePrefix="0" xfId="0">
      <alignment horizontal="center" vertical="center"/>
    </xf>
    <xf numFmtId="0" fontId="0" fillId="13" borderId="24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center" vertical="center"/>
    </xf>
    <xf numFmtId="0" fontId="0" fillId="13" borderId="19" applyAlignment="1" pivotButton="0" quotePrefix="0" xfId="0">
      <alignment horizontal="center" vertical="center"/>
    </xf>
    <xf numFmtId="0" fontId="9" fillId="13" borderId="92" applyAlignment="1" pivotButton="0" quotePrefix="0" xfId="0">
      <alignment horizontal="center" vertical="center"/>
    </xf>
    <xf numFmtId="0" fontId="0" fillId="13" borderId="37" applyAlignment="1" pivotButton="0" quotePrefix="0" xfId="0">
      <alignment horizontal="center" vertical="center"/>
    </xf>
    <xf numFmtId="0" fontId="0" fillId="13" borderId="7" applyAlignment="1" pivotButton="0" quotePrefix="0" xfId="0">
      <alignment horizontal="center" vertical="center"/>
    </xf>
    <xf numFmtId="0" fontId="17" fillId="13" borderId="1" applyAlignment="1" pivotButton="0" quotePrefix="0" xfId="0">
      <alignment horizontal="center"/>
    </xf>
    <xf numFmtId="0" fontId="4" fillId="13" borderId="2" applyAlignment="1" pivotButton="0" quotePrefix="0" xfId="0">
      <alignment horizontal="center" vertical="center"/>
    </xf>
    <xf numFmtId="0" fontId="4" fillId="13" borderId="47" applyAlignment="1" pivotButton="0" quotePrefix="0" xfId="0">
      <alignment horizontal="center" vertical="center"/>
    </xf>
    <xf numFmtId="0" fontId="4" fillId="13" borderId="38" applyAlignment="1" pivotButton="0" quotePrefix="0" xfId="0">
      <alignment horizontal="center" vertical="center"/>
    </xf>
    <xf numFmtId="0" fontId="0" fillId="13" borderId="8" applyAlignment="1" pivotButton="0" quotePrefix="0" xfId="0">
      <alignment horizontal="center" vertical="center"/>
    </xf>
    <xf numFmtId="0" fontId="0" fillId="13" borderId="63" applyAlignment="1" pivotButton="0" quotePrefix="0" xfId="0">
      <alignment horizontal="center" vertical="center"/>
    </xf>
    <xf numFmtId="0" fontId="9" fillId="13" borderId="33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/>
    </xf>
    <xf numFmtId="0" fontId="4" fillId="13" borderId="8" applyAlignment="1" pivotButton="0" quotePrefix="0" xfId="0">
      <alignment horizontal="center" vertical="center"/>
    </xf>
    <xf numFmtId="0" fontId="0" fillId="13" borderId="9" applyAlignment="1" pivotButton="0" quotePrefix="0" xfId="0">
      <alignment horizontal="center" vertical="center"/>
    </xf>
    <xf numFmtId="0" fontId="0" fillId="13" borderId="30" applyAlignment="1" pivotButton="0" quotePrefix="0" xfId="0">
      <alignment horizontal="center" vertical="center"/>
    </xf>
    <xf numFmtId="0" fontId="0" fillId="13" borderId="38" applyAlignment="1" pivotButton="0" quotePrefix="0" xfId="0">
      <alignment horizontal="center" vertical="center"/>
    </xf>
    <xf numFmtId="0" fontId="11" fillId="13" borderId="36" applyAlignment="1" pivotButton="0" quotePrefix="0" xfId="0">
      <alignment horizontal="center" vertical="center"/>
    </xf>
    <xf numFmtId="0" fontId="27" fillId="12" borderId="7" applyAlignment="1" pivotButton="0" quotePrefix="0" xfId="0">
      <alignment horizontal="center"/>
    </xf>
    <xf numFmtId="0" fontId="4" fillId="12" borderId="38" applyAlignment="1" pivotButton="0" quotePrefix="0" xfId="0">
      <alignment horizontal="center" vertical="center"/>
    </xf>
    <xf numFmtId="0" fontId="0" fillId="12" borderId="4" applyAlignment="1" pivotButton="0" quotePrefix="0" xfId="0">
      <alignment horizontal="center" vertical="center"/>
    </xf>
    <xf numFmtId="0" fontId="11" fillId="12" borderId="36" applyAlignment="1" pivotButton="0" quotePrefix="0" xfId="0">
      <alignment horizontal="center" vertical="center"/>
    </xf>
    <xf numFmtId="0" fontId="9" fillId="12" borderId="92" applyAlignment="1" pivotButton="0" quotePrefix="0" xfId="0">
      <alignment horizontal="center" vertical="center"/>
    </xf>
    <xf numFmtId="0" fontId="0" fillId="12" borderId="45" pivotButton="0" quotePrefix="0" xfId="0"/>
    <xf numFmtId="0" fontId="0" fillId="12" borderId="38" pivotButton="0" quotePrefix="0" xfId="0"/>
    <xf numFmtId="0" fontId="0" fillId="12" borderId="9" applyAlignment="1" pivotButton="0" quotePrefix="0" xfId="0">
      <alignment horizontal="center" vertical="center"/>
    </xf>
    <xf numFmtId="0" fontId="0" fillId="12" borderId="85" pivotButton="0" quotePrefix="0" xfId="0"/>
    <xf numFmtId="0" fontId="0" fillId="12" borderId="8" applyAlignment="1" pivotButton="0" quotePrefix="0" xfId="0">
      <alignment horizontal="center" vertical="center"/>
    </xf>
    <xf numFmtId="0" fontId="0" fillId="12" borderId="46" applyAlignment="1" pivotButton="0" quotePrefix="0" xfId="0">
      <alignment horizontal="center"/>
    </xf>
    <xf numFmtId="0" fontId="0" fillId="0" borderId="4" applyAlignment="1" pivotButton="0" quotePrefix="0" xfId="0">
      <alignment horizontal="left" vertical="center"/>
    </xf>
    <xf numFmtId="0" fontId="17" fillId="0" borderId="38" applyAlignment="1" pivotButton="0" quotePrefix="0" xfId="0">
      <alignment horizontal="center"/>
    </xf>
    <xf numFmtId="0" fontId="0" fillId="12" borderId="38" applyAlignment="1" pivotButton="0" quotePrefix="0" xfId="0">
      <alignment horizontal="center" vertical="center"/>
    </xf>
    <xf numFmtId="0" fontId="6" fillId="0" borderId="13" pivotButton="0" quotePrefix="0" xfId="0"/>
    <xf numFmtId="0" fontId="0" fillId="13" borderId="45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0" fillId="12" borderId="47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 vertical="center"/>
    </xf>
    <xf numFmtId="0" fontId="0" fillId="12" borderId="30" applyAlignment="1" pivotButton="0" quotePrefix="0" xfId="0">
      <alignment horizontal="center" vertical="center"/>
    </xf>
    <xf numFmtId="0" fontId="4" fillId="12" borderId="95" applyAlignment="1" pivotButton="0" quotePrefix="0" xfId="0">
      <alignment horizontal="center" vertical="center"/>
    </xf>
    <xf numFmtId="0" fontId="0" fillId="12" borderId="25" applyAlignment="1" pivotButton="0" quotePrefix="0" xfId="0">
      <alignment horizontal="center" vertical="center"/>
    </xf>
    <xf numFmtId="0" fontId="27" fillId="0" borderId="2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0" fontId="27" fillId="13" borderId="8" applyAlignment="1" pivotButton="0" quotePrefix="0" xfId="0">
      <alignment horizontal="center" vertical="center"/>
    </xf>
    <xf numFmtId="0" fontId="27" fillId="12" borderId="38" applyAlignment="1" pivotButton="0" quotePrefix="0" xfId="0">
      <alignment horizontal="center" vertical="center"/>
    </xf>
    <xf numFmtId="0" fontId="27" fillId="0" borderId="38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6" fillId="13" borderId="30" applyAlignment="1" pivotButton="0" quotePrefix="0" xfId="0">
      <alignment horizontal="center" vertical="center"/>
    </xf>
    <xf numFmtId="0" fontId="6" fillId="13" borderId="38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0" fillId="15" borderId="2" applyAlignment="1" pivotButton="0" quotePrefix="0" xfId="0">
      <alignment horizontal="center" vertical="center"/>
    </xf>
    <xf numFmtId="0" fontId="27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0" fillId="15" borderId="1" applyAlignment="1" pivotButton="0" quotePrefix="0" xfId="0">
      <alignment horizontal="center" vertical="center"/>
    </xf>
    <xf numFmtId="0" fontId="23" fillId="0" borderId="0" pivotButton="0" quotePrefix="0" xfId="0"/>
    <xf numFmtId="0" fontId="0" fillId="15" borderId="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0" pivotButton="0" quotePrefix="0" xfId="0"/>
    <xf numFmtId="0" fontId="0" fillId="0" borderId="32" pivotButton="0" quotePrefix="0" xfId="0"/>
    <xf numFmtId="0" fontId="23" fillId="0" borderId="33" applyAlignment="1" pivotButton="0" quotePrefix="0" xfId="0">
      <alignment horizontal="center" vertical="center"/>
    </xf>
    <xf numFmtId="0" fontId="0" fillId="15" borderId="24" applyAlignment="1" pivotButton="0" quotePrefix="0" xfId="0">
      <alignment horizontal="center" vertical="center"/>
    </xf>
    <xf numFmtId="0" fontId="23" fillId="15" borderId="33" applyAlignment="1" pivotButton="0" quotePrefix="0" xfId="0">
      <alignment horizontal="center" vertical="center"/>
    </xf>
    <xf numFmtId="0" fontId="0" fillId="0" borderId="24" applyAlignment="1" pivotButton="0" quotePrefix="0" xfId="0">
      <alignment horizontal="left" vertical="center"/>
    </xf>
    <xf numFmtId="0" fontId="0" fillId="0" borderId="98" pivotButton="0" quotePrefix="0" xfId="0"/>
    <xf numFmtId="0" fontId="18" fillId="0" borderId="4" applyAlignment="1" pivotButton="0" quotePrefix="0" xfId="0">
      <alignment horizontal="left" vertical="center"/>
    </xf>
    <xf numFmtId="0" fontId="23" fillId="16" borderId="33" applyAlignment="1" pivotButton="0" quotePrefix="0" xfId="0">
      <alignment horizontal="center" vertical="center" wrapText="1"/>
    </xf>
    <xf numFmtId="0" fontId="0" fillId="16" borderId="24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0" fontId="23" fillId="16" borderId="33" applyAlignment="1" pivotButton="0" quotePrefix="0" xfId="0">
      <alignment horizontal="center" vertical="center"/>
    </xf>
    <xf numFmtId="0" fontId="23" fillId="2" borderId="33" applyAlignment="1" pivotButton="0" quotePrefix="0" xfId="0">
      <alignment horizontal="center" vertical="center" wrapText="1"/>
    </xf>
    <xf numFmtId="2" fontId="0" fillId="2" borderId="24" applyAlignment="1" pivotButton="0" quotePrefix="0" xfId="0">
      <alignment horizontal="center" vertical="center"/>
    </xf>
    <xf numFmtId="2" fontId="0" fillId="2" borderId="4" applyAlignment="1" pivotButton="0" quotePrefix="0" xfId="0">
      <alignment horizontal="center" vertical="center"/>
    </xf>
    <xf numFmtId="2" fontId="0" fillId="2" borderId="2" applyAlignment="1" pivotButton="0" quotePrefix="0" xfId="0">
      <alignment horizontal="center" vertical="center"/>
    </xf>
    <xf numFmtId="2" fontId="23" fillId="2" borderId="33" applyAlignment="1" pivotButton="0" quotePrefix="0" xfId="0">
      <alignment horizontal="center" vertical="center"/>
    </xf>
    <xf numFmtId="0" fontId="23" fillId="15" borderId="33" applyAlignment="1" pivotButton="0" quotePrefix="0" xfId="0">
      <alignment horizontal="center" vertical="center" wrapText="1"/>
    </xf>
    <xf numFmtId="0" fontId="23" fillId="8" borderId="33" applyAlignment="1" pivotButton="0" quotePrefix="0" xfId="0">
      <alignment horizontal="center" vertical="center" wrapText="1"/>
    </xf>
    <xf numFmtId="2" fontId="0" fillId="8" borderId="24" applyAlignment="1" pivotButton="0" quotePrefix="0" xfId="0">
      <alignment horizontal="center" vertical="center"/>
    </xf>
    <xf numFmtId="2" fontId="0" fillId="8" borderId="4" applyAlignment="1" pivotButton="0" quotePrefix="0" xfId="0">
      <alignment horizontal="center" vertical="center"/>
    </xf>
    <xf numFmtId="2" fontId="0" fillId="8" borderId="2" applyAlignment="1" pivotButton="0" quotePrefix="0" xfId="0">
      <alignment horizontal="center" vertical="center"/>
    </xf>
    <xf numFmtId="2" fontId="23" fillId="8" borderId="33" applyAlignment="1" pivotButton="0" quotePrefix="0" xfId="0">
      <alignment horizontal="center" vertical="center"/>
    </xf>
    <xf numFmtId="2" fontId="0" fillId="8" borderId="101" applyAlignment="1" pivotButton="0" quotePrefix="0" xfId="0">
      <alignment horizontal="center" vertical="center"/>
    </xf>
    <xf numFmtId="2" fontId="0" fillId="8" borderId="47" applyAlignment="1" pivotButton="0" quotePrefix="0" xfId="0">
      <alignment horizontal="center" vertical="center"/>
    </xf>
    <xf numFmtId="0" fontId="0" fillId="15" borderId="101" applyAlignment="1" pivotButton="0" quotePrefix="0" xfId="0">
      <alignment horizontal="center" vertical="center"/>
    </xf>
    <xf numFmtId="0" fontId="0" fillId="15" borderId="47" applyAlignment="1" pivotButton="0" quotePrefix="0" xfId="0">
      <alignment horizontal="center" vertical="center"/>
    </xf>
    <xf numFmtId="0" fontId="9" fillId="15" borderId="33" applyAlignment="1" pivotButton="0" quotePrefix="0" xfId="0">
      <alignment horizontal="center" vertical="center"/>
    </xf>
    <xf numFmtId="2" fontId="0" fillId="2" borderId="101" applyAlignment="1" pivotButton="0" quotePrefix="0" xfId="0">
      <alignment horizontal="center" vertical="center"/>
    </xf>
    <xf numFmtId="2" fontId="0" fillId="2" borderId="47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0" fontId="9" fillId="16" borderId="33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0" fontId="23" fillId="14" borderId="97" applyAlignment="1" pivotButton="0" quotePrefix="0" xfId="0">
      <alignment horizontal="center" vertical="center" wrapText="1"/>
    </xf>
    <xf numFmtId="0" fontId="0" fillId="14" borderId="61" applyAlignment="1" pivotButton="0" quotePrefix="0" xfId="0">
      <alignment horizontal="center" vertical="center"/>
    </xf>
    <xf numFmtId="0" fontId="0" fillId="14" borderId="104" applyAlignment="1" pivotButton="0" quotePrefix="0" xfId="0">
      <alignment horizontal="center" vertical="center"/>
    </xf>
    <xf numFmtId="0" fontId="0" fillId="14" borderId="105" applyAlignment="1" pivotButton="0" quotePrefix="0" xfId="0">
      <alignment horizontal="center" vertical="center"/>
    </xf>
    <xf numFmtId="0" fontId="23" fillId="14" borderId="97" applyAlignment="1" pivotButton="0" quotePrefix="0" xfId="0">
      <alignment horizontal="center" vertical="center"/>
    </xf>
    <xf numFmtId="0" fontId="0" fillId="14" borderId="102" applyAlignment="1" pivotButton="0" quotePrefix="0" xfId="0">
      <alignment horizontal="center" vertical="center"/>
    </xf>
    <xf numFmtId="0" fontId="9" fillId="14" borderId="97" applyAlignment="1" pivotButton="0" quotePrefix="0" xfId="0">
      <alignment horizontal="center" vertical="center"/>
    </xf>
    <xf numFmtId="0" fontId="0" fillId="14" borderId="103" applyAlignment="1" pivotButton="0" quotePrefix="0" xfId="0">
      <alignment horizontal="center" vertical="center"/>
    </xf>
    <xf numFmtId="0" fontId="0" fillId="16" borderId="101" applyAlignment="1" pivotButton="0" quotePrefix="0" xfId="0">
      <alignment horizontal="center" vertical="center"/>
    </xf>
    <xf numFmtId="0" fontId="0" fillId="0" borderId="101" applyAlignment="1" pivotButton="0" quotePrefix="0" xfId="0">
      <alignment horizontal="left" vertical="center"/>
    </xf>
    <xf numFmtId="0" fontId="0" fillId="16" borderId="47" applyAlignment="1" pivotButton="0" quotePrefix="0" xfId="0">
      <alignment horizontal="center" vertical="center"/>
    </xf>
    <xf numFmtId="0" fontId="0" fillId="0" borderId="100" pivotButton="0" quotePrefix="0" xfId="0"/>
    <xf numFmtId="0" fontId="4" fillId="0" borderId="24" applyAlignment="1" pivotButton="0" quotePrefix="0" xfId="0">
      <alignment horizontal="left" vertical="center"/>
    </xf>
    <xf numFmtId="0" fontId="0" fillId="0" borderId="72" pivotButton="0" quotePrefix="0" xfId="0"/>
    <xf numFmtId="0" fontId="10" fillId="0" borderId="2" applyAlignment="1" pivotButton="0" quotePrefix="0" xfId="0">
      <alignment horizontal="left" vertical="center"/>
    </xf>
    <xf numFmtId="0" fontId="0" fillId="0" borderId="109" pivotButton="0" quotePrefix="0" xfId="0"/>
    <xf numFmtId="0" fontId="27" fillId="0" borderId="47" applyAlignment="1" pivotButton="0" quotePrefix="0" xfId="0">
      <alignment horizontal="left" vertical="center"/>
    </xf>
    <xf numFmtId="0" fontId="9" fillId="16" borderId="25" applyAlignment="1" pivotButton="0" quotePrefix="0" xfId="0">
      <alignment horizontal="center" vertical="center"/>
    </xf>
    <xf numFmtId="0" fontId="9" fillId="14" borderId="23" applyAlignment="1" pivotButton="0" quotePrefix="0" xfId="0">
      <alignment horizontal="center" vertical="center"/>
    </xf>
    <xf numFmtId="0" fontId="27" fillId="0" borderId="2" applyAlignment="1" pivotButton="0" quotePrefix="0" xfId="0">
      <alignment horizontal="left" vertical="center"/>
    </xf>
    <xf numFmtId="0" fontId="10" fillId="0" borderId="24" applyAlignment="1" pivotButton="0" quotePrefix="0" xfId="0">
      <alignment horizontal="left" vertical="center"/>
    </xf>
    <xf numFmtId="0" fontId="0" fillId="0" borderId="11" pivotButton="0" quotePrefix="0" xfId="0"/>
    <xf numFmtId="0" fontId="18" fillId="0" borderId="19" applyAlignment="1" pivotButton="0" quotePrefix="0" xfId="0">
      <alignment horizontal="left" vertical="center"/>
    </xf>
    <xf numFmtId="0" fontId="0" fillId="16" borderId="19" applyAlignment="1" pivotButton="0" quotePrefix="0" xfId="0">
      <alignment horizontal="center" vertical="center"/>
    </xf>
    <xf numFmtId="2" fontId="0" fillId="2" borderId="19" applyAlignment="1" pivotButton="0" quotePrefix="0" xfId="0">
      <alignment horizontal="center" vertical="center"/>
    </xf>
    <xf numFmtId="0" fontId="0" fillId="15" borderId="19" applyAlignment="1" pivotButton="0" quotePrefix="0" xfId="0">
      <alignment horizontal="center" vertical="center"/>
    </xf>
    <xf numFmtId="2" fontId="0" fillId="8" borderId="19" applyAlignment="1" pivotButton="0" quotePrefix="0" xfId="0">
      <alignment horizontal="center" vertical="center"/>
    </xf>
    <xf numFmtId="0" fontId="0" fillId="14" borderId="108" applyAlignment="1" pivotButton="0" quotePrefix="0" xfId="0">
      <alignment horizontal="center" vertical="center"/>
    </xf>
    <xf numFmtId="0" fontId="0" fillId="0" borderId="33" applyAlignment="1" pivotButton="0" quotePrefix="0" xfId="0">
      <alignment horizontal="left" vertical="center"/>
    </xf>
    <xf numFmtId="0" fontId="0" fillId="16" borderId="33" applyAlignment="1" pivotButton="0" quotePrefix="0" xfId="0">
      <alignment horizontal="center" vertical="center"/>
    </xf>
    <xf numFmtId="2" fontId="0" fillId="2" borderId="33" applyAlignment="1" pivotButton="0" quotePrefix="0" xfId="0">
      <alignment horizontal="center" vertical="center"/>
    </xf>
    <xf numFmtId="0" fontId="0" fillId="15" borderId="33" applyAlignment="1" pivotButton="0" quotePrefix="0" xfId="0">
      <alignment horizontal="center" vertical="center"/>
    </xf>
    <xf numFmtId="2" fontId="0" fillId="8" borderId="33" applyAlignment="1" pivotButton="0" quotePrefix="0" xfId="0">
      <alignment horizontal="center" vertical="center"/>
    </xf>
    <xf numFmtId="0" fontId="0" fillId="14" borderId="97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/>
    </xf>
    <xf numFmtId="0" fontId="8" fillId="0" borderId="5" applyAlignment="1" pivotButton="0" quotePrefix="0" xfId="0">
      <alignment horizontal="left" vertical="center"/>
    </xf>
    <xf numFmtId="0" fontId="0" fillId="0" borderId="1" applyAlignment="1" pivotButton="0" quotePrefix="1" xfId="0">
      <alignment horizontal="left"/>
    </xf>
    <xf numFmtId="0" fontId="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2" fillId="0" borderId="8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38" fillId="0" borderId="7" pivotButton="0" quotePrefix="0" xfId="0"/>
    <xf numFmtId="0" fontId="32" fillId="0" borderId="0" pivotButton="0" quotePrefix="0" xfId="0"/>
    <xf numFmtId="0" fontId="40" fillId="0" borderId="0" pivotButton="0" quotePrefix="0" xfId="0"/>
    <xf numFmtId="0" fontId="17" fillId="0" borderId="103" pivotButton="0" quotePrefix="0" xfId="0"/>
    <xf numFmtId="0" fontId="13" fillId="0" borderId="103" pivotButton="0" quotePrefix="0" xfId="0"/>
    <xf numFmtId="0" fontId="40" fillId="17" borderId="103" pivotButton="0" quotePrefix="0" xfId="0"/>
    <xf numFmtId="0" fontId="39" fillId="17" borderId="103" pivotButton="0" quotePrefix="0" xfId="0"/>
    <xf numFmtId="0" fontId="17" fillId="17" borderId="103" pivotButton="0" quotePrefix="0" xfId="0"/>
    <xf numFmtId="0" fontId="13" fillId="17" borderId="103" pivotButton="0" quotePrefix="0" xfId="0"/>
    <xf numFmtId="0" fontId="40" fillId="17" borderId="0" pivotButton="0" quotePrefix="0" xfId="0"/>
    <xf numFmtId="0" fontId="0" fillId="15" borderId="1" pivotButton="0" quotePrefix="0" xfId="0"/>
    <xf numFmtId="164" fontId="25" fillId="0" borderId="1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164" fontId="0" fillId="0" borderId="1" pivotButton="0" quotePrefix="0" xfId="0"/>
    <xf numFmtId="0" fontId="45" fillId="0" borderId="7" pivotButton="0" quotePrefix="0" xfId="0"/>
    <xf numFmtId="0" fontId="43" fillId="0" borderId="7" applyAlignment="1" pivotButton="0" quotePrefix="0" xfId="0">
      <alignment horizontal="left" vertical="center"/>
    </xf>
    <xf numFmtId="0" fontId="44" fillId="0" borderId="7" applyAlignment="1" pivotButton="0" quotePrefix="0" xfId="0">
      <alignment horizontal="left" vertical="center" wrapText="1"/>
    </xf>
    <xf numFmtId="0" fontId="43" fillId="0" borderId="18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7" fillId="17" borderId="106" pivotButton="0" quotePrefix="0" xfId="0"/>
    <xf numFmtId="0" fontId="27" fillId="0" borderId="106" pivotButton="0" quotePrefix="0" xfId="0"/>
    <xf numFmtId="0" fontId="27" fillId="17" borderId="106" applyAlignment="1" pivotButton="0" quotePrefix="0" xfId="0">
      <alignment shrinkToFit="1"/>
    </xf>
    <xf numFmtId="0" fontId="10" fillId="0" borderId="106" pivotButton="0" quotePrefix="0" xfId="0"/>
    <xf numFmtId="14" fontId="0" fillId="0" borderId="0" pivotButton="0" quotePrefix="0" xfId="0"/>
    <xf numFmtId="0" fontId="5" fillId="9" borderId="47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left" vertical="center" wrapText="1"/>
    </xf>
    <xf numFmtId="0" fontId="5" fillId="21" borderId="47" applyAlignment="1" pivotButton="0" quotePrefix="0" xfId="0">
      <alignment horizontal="left" vertical="center" wrapText="1"/>
    </xf>
    <xf numFmtId="0" fontId="0" fillId="0" borderId="31" pivotButton="0" quotePrefix="0" xfId="0"/>
    <xf numFmtId="165" fontId="35" fillId="2" borderId="2" applyAlignment="1" pivotButton="0" quotePrefix="0" xfId="0">
      <alignment horizontal="center" vertical="center" wrapText="1"/>
    </xf>
    <xf numFmtId="165" fontId="35" fillId="14" borderId="2" applyAlignment="1" pivotButton="0" quotePrefix="0" xfId="0">
      <alignment horizontal="center" vertical="center" wrapText="1"/>
    </xf>
    <xf numFmtId="165" fontId="35" fillId="15" borderId="2" applyAlignment="1" pivotButton="0" quotePrefix="0" xfId="0">
      <alignment horizontal="center" vertical="center" wrapText="1"/>
    </xf>
    <xf numFmtId="165" fontId="23" fillId="2" borderId="8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14" borderId="4" applyAlignment="1" pivotButton="0" quotePrefix="0" xfId="0">
      <alignment horizontal="center" vertical="center"/>
    </xf>
    <xf numFmtId="2" fontId="0" fillId="0" borderId="4" applyAlignment="1" pivotButton="0" quotePrefix="0" xfId="0">
      <alignment horizontal="center" vertical="center"/>
    </xf>
    <xf numFmtId="2" fontId="0" fillId="0" borderId="9" applyAlignment="1" pivotButton="0" quotePrefix="0" xfId="0">
      <alignment horizontal="center" vertical="center"/>
    </xf>
    <xf numFmtId="165" fontId="46" fillId="2" borderId="2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3" fillId="2" borderId="2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49" fillId="0" borderId="1" applyAlignment="1" pivotButton="0" quotePrefix="0" xfId="0">
      <alignment horizontal="left" vertical="center" wrapText="1"/>
    </xf>
    <xf numFmtId="0" fontId="50" fillId="0" borderId="0" pivotButton="0" quotePrefix="0" xfId="0"/>
    <xf numFmtId="14" fontId="37" fillId="22" borderId="1" applyAlignment="1" pivotButton="0" quotePrefix="0" xfId="0">
      <alignment horizontal="center" vertical="center"/>
    </xf>
    <xf numFmtId="0" fontId="37" fillId="16" borderId="1" applyAlignment="1" pivotButton="0" quotePrefix="0" xfId="0">
      <alignment horizontal="center" vertical="center"/>
    </xf>
    <xf numFmtId="14" fontId="37" fillId="15" borderId="1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165" fontId="23" fillId="5" borderId="2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/>
    </xf>
    <xf numFmtId="0" fontId="18" fillId="5" borderId="4" applyAlignment="1" pivotButton="0" quotePrefix="0" xfId="0">
      <alignment horizontal="center" vertical="center"/>
    </xf>
    <xf numFmtId="165" fontId="35" fillId="5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165" fontId="23" fillId="23" borderId="2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center"/>
    </xf>
    <xf numFmtId="0" fontId="18" fillId="23" borderId="4" applyAlignment="1" pivotButton="0" quotePrefix="0" xfId="0">
      <alignment horizontal="center" vertical="center"/>
    </xf>
    <xf numFmtId="165" fontId="35" fillId="23" borderId="2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/>
    </xf>
    <xf numFmtId="0" fontId="0" fillId="23" borderId="4" applyAlignment="1" pivotButton="0" quotePrefix="0" xfId="0">
      <alignment horizontal="center" vertical="center"/>
    </xf>
    <xf numFmtId="0" fontId="0" fillId="21" borderId="0" pivotButton="0" quotePrefix="0" xfId="0"/>
    <xf numFmtId="0" fontId="0" fillId="21" borderId="1" applyAlignment="1" pivotButton="0" quotePrefix="0" xfId="0">
      <alignment horizontal="center" vertical="center"/>
    </xf>
    <xf numFmtId="0" fontId="42" fillId="20" borderId="4" applyAlignment="1" pivotButton="0" quotePrefix="0" xfId="0">
      <alignment horizontal="left" vertical="center" wrapText="1"/>
    </xf>
    <xf numFmtId="0" fontId="52" fillId="25" borderId="47" applyAlignment="1" pivotButton="0" quotePrefix="0" xfId="0">
      <alignment horizontal="left" vertical="center" wrapText="1"/>
    </xf>
    <xf numFmtId="0" fontId="33" fillId="15" borderId="47" applyAlignment="1" pivotButton="0" quotePrefix="0" xfId="0">
      <alignment horizontal="left" vertical="center" wrapText="1"/>
    </xf>
    <xf numFmtId="0" fontId="5" fillId="21" borderId="30" applyAlignment="1" pivotButton="0" quotePrefix="0" xfId="0">
      <alignment horizontal="left" vertical="center" wrapText="1"/>
    </xf>
    <xf numFmtId="0" fontId="54" fillId="1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2" fillId="9" borderId="21" applyAlignment="1" pivotButton="0" quotePrefix="0" xfId="0">
      <alignment horizontal="center" vertical="center"/>
    </xf>
    <xf numFmtId="0" fontId="4" fillId="0" borderId="6" pivotButton="0" quotePrefix="0" xfId="0"/>
    <xf numFmtId="0" fontId="2" fillId="24" borderId="47" applyAlignment="1" pivotButton="0" quotePrefix="0" xfId="0">
      <alignment horizontal="center" vertical="center"/>
    </xf>
    <xf numFmtId="0" fontId="2" fillId="24" borderId="47" applyAlignment="1" pivotButton="0" quotePrefix="0" xfId="0">
      <alignment horizontal="center" vertical="center" wrapText="1"/>
    </xf>
    <xf numFmtId="0" fontId="51" fillId="24" borderId="111" applyAlignment="1" pivotButton="0" quotePrefix="0" xfId="0">
      <alignment horizontal="center" vertical="center"/>
    </xf>
    <xf numFmtId="0" fontId="51" fillId="24" borderId="112" applyAlignment="1" pivotButton="0" quotePrefix="0" xfId="0">
      <alignment horizontal="center" vertical="center"/>
    </xf>
    <xf numFmtId="0" fontId="51" fillId="24" borderId="45" applyAlignment="1" pivotButton="0" quotePrefix="0" xfId="0">
      <alignment horizontal="center" vertical="center"/>
    </xf>
    <xf numFmtId="0" fontId="51" fillId="24" borderId="113" applyAlignment="1" pivotButton="0" quotePrefix="0" xfId="0">
      <alignment horizontal="center" vertical="center"/>
    </xf>
    <xf numFmtId="0" fontId="56" fillId="27" borderId="1" applyAlignment="1" pivotButton="0" quotePrefix="0" xfId="0">
      <alignment horizontal="center" vertical="center"/>
    </xf>
    <xf numFmtId="0" fontId="57" fillId="0" borderId="38" applyAlignment="1" pivotButton="0" quotePrefix="0" xfId="0">
      <alignment horizontal="center" vertical="center"/>
    </xf>
    <xf numFmtId="0" fontId="43" fillId="0" borderId="38" applyAlignment="1" pivotButton="0" quotePrefix="0" xfId="0">
      <alignment horizontal="center" vertical="center" wrapText="1"/>
    </xf>
    <xf numFmtId="16" fontId="43" fillId="0" borderId="38" applyAlignment="1" pivotButton="0" quotePrefix="1" xfId="0">
      <alignment horizontal="center" vertical="center"/>
    </xf>
    <xf numFmtId="0" fontId="58" fillId="0" borderId="38" applyAlignment="1" pivotButton="0" quotePrefix="0" xfId="0">
      <alignment horizontal="center" vertical="center"/>
    </xf>
    <xf numFmtId="0" fontId="58" fillId="0" borderId="38" applyAlignment="1" pivotButton="0" quotePrefix="0" xfId="0">
      <alignment horizontal="center" vertical="center" wrapText="1"/>
    </xf>
    <xf numFmtId="0" fontId="58" fillId="0" borderId="38" applyAlignment="1" pivotButton="0" quotePrefix="0" xfId="0">
      <alignment horizontal="left" vertical="center" wrapText="1"/>
    </xf>
    <xf numFmtId="0" fontId="58" fillId="0" borderId="38" applyAlignment="1" pivotButton="0" quotePrefix="1" xfId="0">
      <alignment vertical="center" wrapText="1"/>
    </xf>
    <xf numFmtId="0" fontId="59" fillId="0" borderId="0" applyAlignment="1" pivotButton="0" quotePrefix="0" xfId="0">
      <alignment horizontal="center" vertical="center"/>
    </xf>
    <xf numFmtId="0" fontId="58" fillId="0" borderId="2" applyAlignment="1" pivotButton="0" quotePrefix="0" xfId="0">
      <alignment horizontal="center" vertical="center"/>
    </xf>
    <xf numFmtId="0" fontId="58" fillId="0" borderId="1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5" fillId="29" borderId="30" applyAlignment="1" pivotButton="0" quotePrefix="0" xfId="0">
      <alignment horizontal="left" vertical="center" wrapText="1"/>
    </xf>
    <xf numFmtId="0" fontId="5" fillId="30" borderId="30" applyAlignment="1" pivotButton="0" quotePrefix="0" xfId="0">
      <alignment horizontal="left" vertical="center" wrapText="1"/>
    </xf>
    <xf numFmtId="0" fontId="0" fillId="30" borderId="0" pivotButton="0" quotePrefix="0" xfId="0"/>
    <xf numFmtId="0" fontId="0" fillId="29" borderId="0" pivotButton="0" quotePrefix="0" xfId="0"/>
    <xf numFmtId="0" fontId="0" fillId="29" borderId="1" applyAlignment="1" pivotButton="0" quotePrefix="0" xfId="0">
      <alignment horizontal="center" vertical="center"/>
    </xf>
    <xf numFmtId="0" fontId="0" fillId="31" borderId="0" pivotButton="0" quotePrefix="0" xfId="0"/>
    <xf numFmtId="0" fontId="5" fillId="31" borderId="30" applyAlignment="1" pivotButton="0" quotePrefix="0" xfId="0">
      <alignment horizontal="left" vertical="center" wrapText="1"/>
    </xf>
    <xf numFmtId="0" fontId="0" fillId="31" borderId="1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60" applyAlignment="1" pivotButton="0" quotePrefix="0" xfId="0">
      <alignment horizontal="left" vertical="center" wrapText="1"/>
    </xf>
    <xf numFmtId="0" fontId="43" fillId="0" borderId="38" applyAlignment="1" pivotButton="0" quotePrefix="0" xfId="0">
      <alignment horizontal="left" vertical="center"/>
    </xf>
    <xf numFmtId="166" fontId="4" fillId="0" borderId="1" applyAlignment="1" pivotButton="0" quotePrefix="0" xfId="0">
      <alignment horizontal="center" vertical="center" wrapText="1"/>
    </xf>
    <xf numFmtId="2" fontId="0" fillId="15" borderId="1" applyAlignment="1" pivotButton="0" quotePrefix="0" xfId="0">
      <alignment horizontal="center" vertical="center"/>
    </xf>
    <xf numFmtId="0" fontId="0" fillId="32" borderId="0" applyAlignment="1" pivotButton="0" quotePrefix="0" xfId="0">
      <alignment vertical="center"/>
    </xf>
    <xf numFmtId="2" fontId="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2" fillId="25" borderId="21" applyAlignment="1" pivotButton="0" quotePrefix="0" xfId="0">
      <alignment horizontal="left" vertical="center" wrapText="1"/>
    </xf>
    <xf numFmtId="0" fontId="43" fillId="0" borderId="60" applyAlignment="1" pivotButton="0" quotePrefix="0" xfId="0">
      <alignment horizontal="left" vertical="center"/>
    </xf>
    <xf numFmtId="0" fontId="0" fillId="28" borderId="0" pivotButton="0" quotePrefix="0" xfId="0"/>
    <xf numFmtId="0" fontId="58" fillId="0" borderId="1" applyAlignment="1" pivotButton="0" quotePrefix="0" xfId="0">
      <alignment horizontal="left" vertical="center" wrapText="1"/>
    </xf>
    <xf numFmtId="49" fontId="58" fillId="0" borderId="1" applyAlignment="1" pivotButton="0" quotePrefix="0" xfId="0">
      <alignment horizontal="left" vertical="center" wrapText="1"/>
    </xf>
    <xf numFmtId="0" fontId="38" fillId="0" borderId="1" applyAlignment="1" pivotButton="0" quotePrefix="0" xfId="0">
      <alignment horizontal="left" vertical="center" wrapText="1"/>
    </xf>
    <xf numFmtId="49" fontId="60" fillId="0" borderId="1" applyAlignment="1" pivotButton="0" quotePrefix="0" xfId="0">
      <alignment horizontal="left" vertical="center" wrapText="1"/>
    </xf>
    <xf numFmtId="0" fontId="38" fillId="0" borderId="38" applyAlignment="1" pivotButton="0" quotePrefix="0" xfId="0">
      <alignment horizontal="center" vertical="center" wrapText="1"/>
    </xf>
    <xf numFmtId="0" fontId="58" fillId="0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25" fillId="0" borderId="0" pivotButton="0" quotePrefix="0" xfId="0"/>
    <xf numFmtId="0" fontId="61" fillId="33" borderId="0" applyAlignment="1" pivotButton="0" quotePrefix="0" xfId="0">
      <alignment horizontal="center" vertical="center"/>
    </xf>
    <xf numFmtId="0" fontId="48" fillId="15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 wrapText="1"/>
    </xf>
    <xf numFmtId="0" fontId="60" fillId="0" borderId="1" applyAlignment="1" pivotButton="0" quotePrefix="0" xfId="0">
      <alignment horizontal="center" vertical="center" wrapText="1"/>
    </xf>
    <xf numFmtId="0" fontId="60" fillId="0" borderId="1" applyAlignment="1" pivotButton="0" quotePrefix="1" xfId="0">
      <alignment horizontal="center" vertical="center" wrapText="1"/>
    </xf>
    <xf numFmtId="0" fontId="63" fillId="0" borderId="1" applyAlignment="1" pivotButton="0" quotePrefix="1" xfId="0">
      <alignment horizontal="center" vertical="center" wrapText="1"/>
    </xf>
    <xf numFmtId="3" fontId="28" fillId="0" borderId="1" pivotButton="0" quotePrefix="0" xfId="0"/>
    <xf numFmtId="0" fontId="18" fillId="14" borderId="1" applyAlignment="1" pivotButton="0" quotePrefix="0" xfId="0">
      <alignment horizontal="center" vertical="center"/>
    </xf>
    <xf numFmtId="0" fontId="18" fillId="15" borderId="1" applyAlignment="1" pivotButton="0" quotePrefix="0" xfId="0">
      <alignment horizontal="center" vertical="center"/>
    </xf>
    <xf numFmtId="0" fontId="18" fillId="23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vertical="center"/>
    </xf>
    <xf numFmtId="0" fontId="10" fillId="23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0" fillId="2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34" fillId="0" borderId="3" applyAlignment="1" pivotButton="0" quotePrefix="0" xfId="0">
      <alignment vertical="center"/>
    </xf>
    <xf numFmtId="0" fontId="34" fillId="0" borderId="38" applyAlignment="1" pivotButton="0" quotePrefix="0" xfId="0">
      <alignment vertical="center"/>
    </xf>
    <xf numFmtId="0" fontId="34" fillId="0" borderId="21" applyAlignment="1" pivotButton="0" quotePrefix="0" xfId="0">
      <alignment vertical="center"/>
    </xf>
    <xf numFmtId="0" fontId="34" fillId="0" borderId="31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38" applyAlignment="1" pivotButton="0" quotePrefix="0" xfId="0">
      <alignment horizontal="center" vertical="center"/>
    </xf>
    <xf numFmtId="0" fontId="34" fillId="0" borderId="38" applyAlignment="1" pivotButton="0" quotePrefix="0" xfId="0">
      <alignment horizontal="center" vertical="center"/>
    </xf>
    <xf numFmtId="0" fontId="34" fillId="0" borderId="3" applyAlignment="1" pivotButton="0" quotePrefix="0" xfId="0">
      <alignment horizontal="center" vertical="center"/>
    </xf>
    <xf numFmtId="0" fontId="59" fillId="33" borderId="0" applyAlignment="1" pivotButton="0" quotePrefix="0" xfId="0">
      <alignment horizontal="center" vertical="center"/>
    </xf>
    <xf numFmtId="2" fontId="18" fillId="0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2" fontId="18" fillId="0" borderId="1" applyAlignment="1" pivotButton="0" quotePrefix="0" xfId="0">
      <alignment horizontal="center" vertical="center"/>
    </xf>
    <xf numFmtId="0" fontId="64" fillId="0" borderId="1" applyAlignment="1" pivotButton="0" quotePrefix="0" xfId="0">
      <alignment horizontal="center" vertical="center"/>
    </xf>
    <xf numFmtId="0" fontId="65" fillId="0" borderId="1" applyAlignment="1" pivotButton="0" quotePrefix="0" xfId="0">
      <alignment horizontal="center" vertical="center"/>
    </xf>
    <xf numFmtId="0" fontId="65" fillId="27" borderId="1" applyAlignment="1" pivotButton="0" quotePrefix="0" xfId="0">
      <alignment horizontal="center" vertical="center"/>
    </xf>
    <xf numFmtId="0" fontId="66" fillId="16" borderId="1" applyAlignment="1" pivotButton="0" quotePrefix="0" xfId="0">
      <alignment horizontal="center" vertical="center"/>
    </xf>
    <xf numFmtId="14" fontId="66" fillId="15" borderId="1" applyAlignment="1" pivotButton="0" quotePrefix="0" xfId="0">
      <alignment horizontal="center" vertical="center"/>
    </xf>
    <xf numFmtId="0" fontId="67" fillId="0" borderId="1" applyAlignment="1" pivotButton="0" quotePrefix="0" xfId="0">
      <alignment horizontal="center" vertical="center"/>
    </xf>
    <xf numFmtId="2" fontId="67" fillId="0" borderId="1" applyAlignment="1" pivotButton="0" quotePrefix="0" xfId="0">
      <alignment horizontal="center" vertical="center"/>
    </xf>
    <xf numFmtId="166" fontId="67" fillId="0" borderId="1" applyAlignment="1" pivotButton="0" quotePrefix="0" xfId="0">
      <alignment horizontal="center" vertical="center" wrapText="1"/>
    </xf>
    <xf numFmtId="166" fontId="67" fillId="0" borderId="1" applyAlignment="1" pivotButton="0" quotePrefix="0" xfId="0">
      <alignment horizontal="center" vertical="center"/>
    </xf>
    <xf numFmtId="167" fontId="67" fillId="0" borderId="1" applyAlignment="1" pivotButton="0" quotePrefix="0" xfId="0">
      <alignment horizontal="center" vertical="center"/>
    </xf>
    <xf numFmtId="0" fontId="37" fillId="30" borderId="1" applyAlignment="1" pivotButton="0" quotePrefix="0" xfId="0">
      <alignment horizontal="center" vertical="center" wrapText="1"/>
    </xf>
    <xf numFmtId="0" fontId="2" fillId="9" borderId="47" applyAlignment="1" pivotButton="0" quotePrefix="0" xfId="0">
      <alignment horizontal="center" vertical="center" wrapText="1"/>
    </xf>
    <xf numFmtId="0" fontId="2" fillId="9" borderId="47" applyAlignment="1" pivotButton="0" quotePrefix="0" xfId="0">
      <alignment horizontal="center" vertical="center"/>
    </xf>
    <xf numFmtId="0" fontId="5" fillId="9" borderId="47" applyAlignment="1" pivotButton="0" quotePrefix="0" xfId="0">
      <alignment horizontal="center" vertical="center"/>
    </xf>
    <xf numFmtId="0" fontId="2" fillId="32" borderId="45" applyAlignment="1" pivotButton="0" quotePrefix="0" xfId="0">
      <alignment horizontal="left" vertical="center" wrapText="1"/>
    </xf>
    <xf numFmtId="0" fontId="62" fillId="33" borderId="45" applyAlignment="1" pivotButton="0" quotePrefix="0" xfId="0">
      <alignment horizontal="left" vertical="center" wrapText="1"/>
    </xf>
    <xf numFmtId="0" fontId="5" fillId="28" borderId="45" applyAlignment="1" pivotButton="0" quotePrefix="0" xfId="0">
      <alignment horizontal="left" vertical="center" wrapText="1"/>
    </xf>
    <xf numFmtId="0" fontId="53" fillId="26" borderId="95" applyAlignment="1" pivotButton="0" quotePrefix="0" xfId="0">
      <alignment horizontal="left" vertical="center" wrapText="1"/>
    </xf>
    <xf numFmtId="0" fontId="53" fillId="26" borderId="45" applyAlignment="1" pivotButton="0" quotePrefix="0" xfId="0">
      <alignment horizontal="left" vertical="center" wrapText="1"/>
    </xf>
    <xf numFmtId="0" fontId="53" fillId="26" borderId="85" applyAlignment="1" pivotButton="0" quotePrefix="0" xfId="0">
      <alignment horizontal="left" vertical="center" wrapText="1"/>
    </xf>
    <xf numFmtId="0" fontId="55" fillId="0" borderId="1" pivotButton="0" quotePrefix="0" xfId="0"/>
    <xf numFmtId="2" fontId="4" fillId="0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 wrapText="1"/>
    </xf>
    <xf numFmtId="0" fontId="28" fillId="0" borderId="1" pivotButton="0" quotePrefix="0" xfId="0"/>
    <xf numFmtId="0" fontId="67" fillId="28" borderId="1" applyAlignment="1" pivotButton="0" quotePrefix="0" xfId="0">
      <alignment horizontal="center" vertical="center" wrapText="1"/>
    </xf>
    <xf numFmtId="0" fontId="25" fillId="0" borderId="1" pivotButton="0" quotePrefix="0" xfId="0"/>
    <xf numFmtId="0" fontId="0" fillId="32" borderId="1" applyAlignment="1" pivotButton="0" quotePrefix="0" xfId="0">
      <alignment vertical="center"/>
    </xf>
    <xf numFmtId="0" fontId="59" fillId="33" borderId="1" applyAlignment="1" pivotButton="0" quotePrefix="0" xfId="0">
      <alignment horizontal="center" vertical="center"/>
    </xf>
    <xf numFmtId="0" fontId="0" fillId="16" borderId="1" pivotButton="0" quotePrefix="0" xfId="0"/>
    <xf numFmtId="0" fontId="0" fillId="30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9" fillId="19" borderId="0" applyAlignment="1" pivotButton="0" quotePrefix="0" xfId="0">
      <alignment horizontal="center" vertical="center"/>
    </xf>
    <xf numFmtId="0" fontId="42" fillId="34" borderId="4" applyAlignment="1" pivotButton="0" quotePrefix="0" xfId="0">
      <alignment horizontal="left" vertical="center" wrapText="1"/>
    </xf>
    <xf numFmtId="0" fontId="70" fillId="22" borderId="1" applyAlignment="1" pivotButton="0" quotePrefix="0" xfId="0">
      <alignment horizontal="center" vertical="center"/>
    </xf>
    <xf numFmtId="168" fontId="71" fillId="0" borderId="114" applyAlignment="1" pivotButton="0" quotePrefix="0" xfId="0">
      <alignment horizontal="right"/>
    </xf>
    <xf numFmtId="14" fontId="54" fillId="15" borderId="1" applyAlignment="1" pivotButton="0" quotePrefix="0" xfId="0">
      <alignment horizontal="center" vertical="center"/>
    </xf>
    <xf numFmtId="16" fontId="43" fillId="0" borderId="7" applyAlignment="1" pivotButton="0" quotePrefix="0" xfId="0">
      <alignment horizontal="left" vertical="center"/>
    </xf>
    <xf numFmtId="0" fontId="73" fillId="0" borderId="0" applyAlignment="1" pivotButton="0" quotePrefix="0" xfId="0">
      <alignment horizontal="center"/>
    </xf>
    <xf numFmtId="0" fontId="73" fillId="0" borderId="0" pivotButton="0" quotePrefix="0" xfId="0"/>
    <xf numFmtId="0" fontId="73" fillId="0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43" fillId="17" borderId="1" applyAlignment="1" pivotButton="0" quotePrefix="0" xfId="0">
      <alignment vertical="center" wrapText="1" shrinkToFit="1"/>
    </xf>
    <xf numFmtId="0" fontId="43" fillId="17" borderId="117" applyAlignment="1" pivotButton="0" quotePrefix="0" xfId="0">
      <alignment horizontal="left" vertical="center"/>
    </xf>
    <xf numFmtId="0" fontId="44" fillId="17" borderId="7" applyAlignment="1" pivotButton="0" quotePrefix="0" xfId="0">
      <alignment horizontal="left" vertical="center" wrapText="1"/>
    </xf>
    <xf numFmtId="0" fontId="45" fillId="0" borderId="1" pivotButton="0" quotePrefix="0" xfId="0"/>
    <xf numFmtId="14" fontId="48" fillId="15" borderId="1" applyAlignment="1" pivotButton="0" quotePrefix="0" xfId="0">
      <alignment horizontal="center" vertical="center"/>
    </xf>
    <xf numFmtId="14" fontId="66" fillId="16" borderId="1" applyAlignment="1" pivotButton="0" quotePrefix="0" xfId="0">
      <alignment horizontal="center" vertical="center"/>
    </xf>
    <xf numFmtId="14" fontId="74" fillId="16" borderId="38" applyAlignment="1" pivotButton="0" quotePrefix="0" xfId="0">
      <alignment horizontal="right"/>
    </xf>
    <xf numFmtId="14" fontId="74" fillId="16" borderId="45" applyAlignment="1" pivotButton="0" quotePrefix="0" xfId="0">
      <alignment horizontal="right"/>
    </xf>
    <xf numFmtId="0" fontId="67" fillId="23" borderId="1" applyAlignment="1" pivotButton="0" quotePrefix="0" xfId="0">
      <alignment horizontal="center"/>
    </xf>
    <xf numFmtId="0" fontId="67" fillId="5" borderId="1" applyAlignment="1" pivotButton="0" quotePrefix="0" xfId="0">
      <alignment horizontal="center"/>
    </xf>
    <xf numFmtId="0" fontId="67" fillId="23" borderId="1" applyAlignment="1" pivotButton="0" quotePrefix="0" xfId="0">
      <alignment horizontal="center" vertical="center"/>
    </xf>
    <xf numFmtId="0" fontId="67" fillId="5" borderId="1" applyAlignment="1" pivotButton="0" quotePrefix="0" xfId="0">
      <alignment horizontal="center" vertical="center"/>
    </xf>
    <xf numFmtId="0" fontId="67" fillId="14" borderId="1" applyAlignment="1" pivotButton="0" quotePrefix="0" xfId="0">
      <alignment horizontal="center" vertical="center"/>
    </xf>
    <xf numFmtId="0" fontId="67" fillId="15" borderId="1" applyAlignment="1" pivotButton="0" quotePrefix="0" xfId="0">
      <alignment horizontal="center" vertical="center"/>
    </xf>
    <xf numFmtId="0" fontId="67" fillId="0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37" fillId="30" borderId="18" applyAlignment="1" pivotButton="0" quotePrefix="0" xfId="0">
      <alignment horizontal="center" vertical="center" wrapText="1"/>
    </xf>
    <xf numFmtId="2" fontId="4" fillId="21" borderId="1" applyAlignment="1" pivotButton="0" quotePrefix="0" xfId="0">
      <alignment horizontal="center" vertical="center"/>
    </xf>
    <xf numFmtId="0" fontId="52" fillId="8" borderId="47" applyAlignment="1" pivotButton="0" quotePrefix="0" xfId="0">
      <alignment horizontal="center" vertical="center" wrapText="1"/>
    </xf>
    <xf numFmtId="0" fontId="52" fillId="11" borderId="47" applyAlignment="1" pivotButton="0" quotePrefix="0" xfId="0">
      <alignment horizontal="center" vertical="center" wrapText="1"/>
    </xf>
    <xf numFmtId="0" fontId="75" fillId="27" borderId="1" applyAlignment="1" pivotButton="0" quotePrefix="0" xfId="0">
      <alignment horizontal="center" vertical="center"/>
    </xf>
    <xf numFmtId="169" fontId="48" fillId="15" borderId="1" applyAlignment="1" pivotButton="0" quotePrefix="0" xfId="0">
      <alignment horizontal="center" vertical="center"/>
    </xf>
    <xf numFmtId="0" fontId="56" fillId="27" borderId="1" applyAlignment="1" pivotButton="0" quotePrefix="0" xfId="0">
      <alignment horizontal="center" vertical="center" wrapText="1"/>
    </xf>
    <xf numFmtId="0" fontId="56" fillId="36" borderId="1" applyAlignment="1" pivotButton="0" quotePrefix="0" xfId="0">
      <alignment horizontal="center" vertical="center" wrapText="1"/>
    </xf>
    <xf numFmtId="168" fontId="28" fillId="0" borderId="1" pivotButton="0" quotePrefix="0" xfId="0"/>
    <xf numFmtId="168" fontId="72" fillId="0" borderId="120" pivotButton="0" quotePrefix="0" xfId="0"/>
    <xf numFmtId="0" fontId="76" fillId="27" borderId="1" applyAlignment="1" pivotButton="0" quotePrefix="0" xfId="0">
      <alignment horizontal="center" vertical="center" wrapText="1"/>
    </xf>
    <xf numFmtId="0" fontId="76" fillId="27" borderId="1" applyAlignment="1" pivotButton="0" quotePrefix="0" xfId="0">
      <alignment horizontal="center" vertical="center"/>
    </xf>
    <xf numFmtId="0" fontId="77" fillId="0" borderId="18" applyAlignment="1" pivotButton="0" quotePrefix="0" xfId="0">
      <alignment horizontal="left" vertical="center"/>
    </xf>
    <xf numFmtId="0" fontId="78" fillId="0" borderId="7" applyAlignment="1" pivotButton="0" quotePrefix="0" xfId="0">
      <alignment horizontal="left" vertical="center" wrapText="1"/>
    </xf>
    <xf numFmtId="0" fontId="79" fillId="0" borderId="7" pivotButton="0" quotePrefix="0" xfId="0"/>
    <xf numFmtId="0" fontId="0" fillId="11" borderId="46" applyAlignment="1" pivotButton="0" quotePrefix="0" xfId="0">
      <alignment horizontal="left" vertical="center" indent="19"/>
    </xf>
    <xf numFmtId="0" fontId="0" fillId="11" borderId="118" applyAlignment="1" pivotButton="0" quotePrefix="0" xfId="0">
      <alignment horizontal="left" vertical="center" indent="19"/>
    </xf>
    <xf numFmtId="0" fontId="25" fillId="11" borderId="119" applyAlignment="1" pivotButton="0" quotePrefix="0" xfId="0">
      <alignment horizontal="left" vertical="center" indent="14"/>
    </xf>
    <xf numFmtId="0" fontId="0" fillId="8" borderId="46" applyAlignment="1" pivotButton="0" quotePrefix="0" xfId="0">
      <alignment horizontal="left" vertical="center" indent="20"/>
    </xf>
    <xf numFmtId="0" fontId="0" fillId="8" borderId="118" applyAlignment="1" pivotButton="0" quotePrefix="0" xfId="0">
      <alignment vertical="center" indent="24"/>
    </xf>
    <xf numFmtId="0" fontId="0" fillId="8" borderId="118" applyAlignment="1" pivotButton="0" quotePrefix="0" xfId="0">
      <alignment vertical="center" indent="16"/>
    </xf>
    <xf numFmtId="0" fontId="80" fillId="0" borderId="1" applyAlignment="1" pivotButton="0" quotePrefix="0" xfId="0">
      <alignment horizontal="center" vertical="center"/>
    </xf>
    <xf numFmtId="0" fontId="80" fillId="0" borderId="7" applyAlignment="1" pivotButton="0" quotePrefix="0" xfId="0">
      <alignment horizontal="center" vertical="center"/>
    </xf>
    <xf numFmtId="0" fontId="64" fillId="0" borderId="7" applyAlignment="1" pivotButton="0" quotePrefix="0" xfId="0">
      <alignment horizontal="center" vertical="center"/>
    </xf>
    <xf numFmtId="0" fontId="64" fillId="0" borderId="2" applyAlignment="1" pivotButton="0" quotePrefix="0" xfId="0">
      <alignment horizontal="center" vertical="center"/>
    </xf>
    <xf numFmtId="0" fontId="0" fillId="16" borderId="0" pivotButton="0" quotePrefix="0" xfId="0"/>
    <xf numFmtId="0" fontId="0" fillId="16" borderId="0" applyAlignment="1" pivotButton="0" quotePrefix="0" xfId="0">
      <alignment horizontal="center" vertical="center"/>
    </xf>
    <xf numFmtId="0" fontId="70" fillId="22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5" borderId="0" applyAlignment="1" pivotButton="0" quotePrefix="0" xfId="0">
      <alignment horizontal="center" vertical="center"/>
    </xf>
    <xf numFmtId="2" fontId="0" fillId="15" borderId="0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0" fillId="31" borderId="0" applyAlignment="1" pivotButton="0" quotePrefix="0" xfId="0">
      <alignment horizontal="center" vertical="center"/>
    </xf>
    <xf numFmtId="0" fontId="0" fillId="29" borderId="0" applyAlignment="1" pivotButton="0" quotePrefix="0" xfId="0">
      <alignment horizontal="center" vertical="center"/>
    </xf>
    <xf numFmtId="0" fontId="0" fillId="30" borderId="0" applyAlignment="1" pivotButton="0" quotePrefix="0" xfId="0">
      <alignment horizontal="center" vertical="center"/>
    </xf>
    <xf numFmtId="0" fontId="0" fillId="28" borderId="0" applyAlignment="1" pivotButton="0" quotePrefix="0" xfId="0">
      <alignment horizontal="center" vertical="center"/>
    </xf>
    <xf numFmtId="0" fontId="0" fillId="26" borderId="0" applyAlignment="1" pivotButton="0" quotePrefix="0" xfId="0">
      <alignment horizontal="center" vertical="center"/>
    </xf>
    <xf numFmtId="164" fontId="0" fillId="0" borderId="0" pivotButton="0" quotePrefix="0" xfId="0"/>
    <xf numFmtId="0" fontId="64" fillId="0" borderId="1" applyAlignment="1" pivotButton="0" quotePrefix="0" xfId="0">
      <alignment horizontal="center" vertical="center" wrapText="1"/>
    </xf>
    <xf numFmtId="0" fontId="81" fillId="33" borderId="1" applyAlignment="1" pivotButton="0" quotePrefix="0" xfId="0">
      <alignment horizontal="center" vertical="center"/>
    </xf>
    <xf numFmtId="14" fontId="64" fillId="16" borderId="1" applyAlignment="1" pivotButton="0" quotePrefix="0" xfId="0">
      <alignment horizontal="center" vertical="center"/>
    </xf>
    <xf numFmtId="14" fontId="37" fillId="16" borderId="1" applyAlignment="1" pivotButton="0" quotePrefix="0" xfId="0">
      <alignment horizontal="center" vertical="center"/>
    </xf>
    <xf numFmtId="0" fontId="64" fillId="16" borderId="1" applyAlignment="1" pivotButton="0" quotePrefix="0" xfId="0">
      <alignment horizontal="center" vertical="center"/>
    </xf>
    <xf numFmtId="0" fontId="64" fillId="15" borderId="1" applyAlignment="1" pivotButton="0" quotePrefix="0" xfId="0">
      <alignment horizontal="center" vertical="center"/>
    </xf>
    <xf numFmtId="3" fontId="71" fillId="0" borderId="1" pivotButton="0" quotePrefix="0" xfId="0"/>
    <xf numFmtId="166" fontId="82" fillId="0" borderId="1" applyAlignment="1" pivotButton="0" quotePrefix="0" xfId="0">
      <alignment horizontal="center" vertical="center"/>
    </xf>
    <xf numFmtId="0" fontId="43" fillId="35" borderId="1" applyAlignment="1" pivotButton="0" quotePrefix="0" xfId="0">
      <alignment vertical="center" wrapText="1" shrinkToFit="1"/>
    </xf>
    <xf numFmtId="0" fontId="43" fillId="35" borderId="117" applyAlignment="1" pivotButton="0" quotePrefix="0" xfId="0">
      <alignment horizontal="left" vertical="center"/>
    </xf>
    <xf numFmtId="0" fontId="83" fillId="0" borderId="1" applyAlignment="1" pivotButton="0" quotePrefix="0" xfId="0">
      <alignment horizontal="center" vertical="center"/>
    </xf>
    <xf numFmtId="0" fontId="64" fillId="0" borderId="4" applyAlignment="1" pivotButton="0" quotePrefix="0" xfId="0">
      <alignment horizontal="center" vertical="center"/>
    </xf>
    <xf numFmtId="0" fontId="64" fillId="0" borderId="38" applyAlignment="1" pivotButton="0" quotePrefix="0" xfId="0">
      <alignment horizontal="center" vertical="center"/>
    </xf>
    <xf numFmtId="0" fontId="84" fillId="0" borderId="1" applyAlignment="1" pivotButton="0" quotePrefix="0" xfId="0">
      <alignment horizontal="center" vertical="center"/>
    </xf>
    <xf numFmtId="0" fontId="64" fillId="32" borderId="1" applyAlignment="1" pivotButton="0" quotePrefix="0" xfId="0">
      <alignment horizontal="center" vertical="center"/>
    </xf>
    <xf numFmtId="0" fontId="64" fillId="33" borderId="1" applyAlignment="1" pivotButton="0" quotePrefix="0" xfId="0">
      <alignment horizontal="center" vertical="center"/>
    </xf>
    <xf numFmtId="0" fontId="84" fillId="0" borderId="115" applyAlignment="1" pivotButton="0" quotePrefix="0" xfId="0">
      <alignment horizontal="center" vertical="center"/>
    </xf>
    <xf numFmtId="0" fontId="84" fillId="0" borderId="116" applyAlignment="1" pivotButton="0" quotePrefix="0" xfId="0">
      <alignment horizontal="center" vertical="center"/>
    </xf>
    <xf numFmtId="0" fontId="84" fillId="0" borderId="7" applyAlignment="1" pivotButton="0" quotePrefix="0" xfId="0">
      <alignment horizontal="center" vertical="center"/>
    </xf>
    <xf numFmtId="0" fontId="81" fillId="14" borderId="1" applyAlignment="1" pivotButton="0" quotePrefix="0" xfId="0">
      <alignment horizontal="center" vertical="center"/>
    </xf>
    <xf numFmtId="0" fontId="81" fillId="35" borderId="1" applyAlignment="1" pivotButton="0" quotePrefix="0" xfId="0">
      <alignment horizontal="center" vertical="center"/>
    </xf>
    <xf numFmtId="0" fontId="81" fillId="0" borderId="1" applyAlignment="1" pivotButton="0" quotePrefix="0" xfId="0">
      <alignment horizontal="center" vertical="center"/>
    </xf>
    <xf numFmtId="0" fontId="81" fillId="0" borderId="38" applyAlignment="1" pivotButton="0" quotePrefix="0" xfId="0">
      <alignment horizontal="center" vertical="center"/>
    </xf>
    <xf numFmtId="0" fontId="84" fillId="0" borderId="121" applyAlignment="1" pivotButton="0" quotePrefix="0" xfId="0">
      <alignment horizontal="center" vertical="center"/>
    </xf>
    <xf numFmtId="0" fontId="81" fillId="0" borderId="0" applyAlignment="1" pivotButton="0" quotePrefix="0" xfId="0">
      <alignment horizontal="center" vertical="center"/>
    </xf>
    <xf numFmtId="0" fontId="81" fillId="32" borderId="1" applyAlignment="1" pivotButton="0" quotePrefix="0" xfId="0">
      <alignment horizontal="center" vertical="center"/>
    </xf>
    <xf numFmtId="0" fontId="64" fillId="35" borderId="1" applyAlignment="1" pivotButton="0" quotePrefix="0" xfId="0">
      <alignment horizontal="center" vertical="center"/>
    </xf>
    <xf numFmtId="166" fontId="4" fillId="21" borderId="1" applyAlignment="1" pivotButton="0" quotePrefix="0" xfId="0">
      <alignment horizontal="center" vertical="center" wrapText="1"/>
    </xf>
    <xf numFmtId="0" fontId="85" fillId="27" borderId="1" applyAlignment="1" pivotButton="0" quotePrefix="0" xfId="0">
      <alignment horizontal="center" vertical="center"/>
    </xf>
    <xf numFmtId="0" fontId="86" fillId="0" borderId="1" applyAlignment="1" pivotButton="0" quotePrefix="0" xfId="0">
      <alignment horizontal="center" vertical="center"/>
    </xf>
    <xf numFmtId="0" fontId="86" fillId="27" borderId="1" applyAlignment="1" pivotButton="0" quotePrefix="0" xfId="0">
      <alignment horizontal="center" vertical="center"/>
    </xf>
    <xf numFmtId="0" fontId="64" fillId="0" borderId="122" applyAlignment="1" pivotButton="0" quotePrefix="0" xfId="0">
      <alignment horizontal="center" vertical="center"/>
    </xf>
    <xf numFmtId="0" fontId="64" fillId="0" borderId="123" applyAlignment="1" pivotButton="0" quotePrefix="0" xfId="0">
      <alignment horizontal="center" vertical="center"/>
    </xf>
    <xf numFmtId="0" fontId="77" fillId="35" borderId="38" applyAlignment="1" pivotButton="0" quotePrefix="0" xfId="0">
      <alignment vertical="center" shrinkToFit="1"/>
    </xf>
    <xf numFmtId="0" fontId="77" fillId="35" borderId="38" applyAlignment="1" pivotButton="0" quotePrefix="0" xfId="0">
      <alignment horizontal="left" vertical="center"/>
    </xf>
    <xf numFmtId="0" fontId="77" fillId="0" borderId="38" applyAlignment="1" pivotButton="0" quotePrefix="0" xfId="0">
      <alignment horizontal="left" vertical="center"/>
    </xf>
    <xf numFmtId="0" fontId="43" fillId="0" borderId="38" applyAlignment="1" pivotButton="0" quotePrefix="0" xfId="0">
      <alignment vertical="center" shrinkToFit="1"/>
    </xf>
    <xf numFmtId="0" fontId="77" fillId="0" borderId="38" applyAlignment="1" pivotButton="0" quotePrefix="0" xfId="0">
      <alignment vertical="center" shrinkToFit="1"/>
    </xf>
    <xf numFmtId="0" fontId="43" fillId="35" borderId="4" applyAlignment="1" pivotButton="0" quotePrefix="0" xfId="0">
      <alignment vertical="center" wrapText="1" shrinkToFit="1"/>
    </xf>
    <xf numFmtId="0" fontId="43" fillId="35" borderId="124" applyAlignment="1" pivotButton="0" quotePrefix="0" xfId="0">
      <alignment horizontal="left" vertical="center"/>
    </xf>
    <xf numFmtId="0" fontId="43" fillId="0" borderId="9" applyAlignment="1" pivotButton="0" quotePrefix="0" xfId="0">
      <alignment horizontal="left" vertical="center"/>
    </xf>
    <xf numFmtId="0" fontId="43" fillId="0" borderId="5" applyAlignment="1" pivotButton="0" quotePrefix="0" xfId="0">
      <alignment vertical="center" shrinkToFit="1"/>
    </xf>
    <xf numFmtId="0" fontId="43" fillId="0" borderId="8" applyAlignment="1" pivotButton="0" quotePrefix="0" xfId="0">
      <alignment horizontal="left" vertical="center"/>
    </xf>
    <xf numFmtId="2" fontId="4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/>
    </xf>
    <xf numFmtId="0" fontId="88" fillId="9" borderId="47" applyAlignment="1" pivotButton="0" quotePrefix="0" xfId="0">
      <alignment horizontal="center" vertical="center"/>
    </xf>
    <xf numFmtId="0" fontId="78" fillId="0" borderId="1" applyAlignment="1" pivotButton="0" quotePrefix="0" xfId="0">
      <alignment horizontal="center" vertical="center"/>
    </xf>
    <xf numFmtId="0" fontId="78" fillId="0" borderId="1" applyAlignment="1" pivotButton="0" quotePrefix="0" xfId="0">
      <alignment horizontal="center" vertical="center" wrapText="1"/>
    </xf>
    <xf numFmtId="0" fontId="78" fillId="0" borderId="4" applyAlignment="1" pivotButton="0" quotePrefix="0" xfId="0">
      <alignment horizontal="center" vertical="center"/>
    </xf>
    <xf numFmtId="0" fontId="78" fillId="0" borderId="38" applyAlignment="1" pivotButton="0" quotePrefix="0" xfId="0">
      <alignment horizontal="center" vertical="center"/>
    </xf>
    <xf numFmtId="0" fontId="78" fillId="0" borderId="2" applyAlignment="1" pivotButton="0" quotePrefix="0" xfId="0">
      <alignment horizontal="center" vertical="center"/>
    </xf>
    <xf numFmtId="0" fontId="89" fillId="0" borderId="1" applyAlignment="1" pivotButton="0" quotePrefix="0" xfId="0">
      <alignment horizontal="center" vertical="center"/>
    </xf>
    <xf numFmtId="0" fontId="89" fillId="0" borderId="4" applyAlignment="1" pivotButton="0" quotePrefix="0" xfId="0">
      <alignment horizontal="center" vertical="center"/>
    </xf>
    <xf numFmtId="0" fontId="89" fillId="0" borderId="38" applyAlignment="1" pivotButton="0" quotePrefix="0" xfId="0">
      <alignment horizontal="center" vertical="center"/>
    </xf>
    <xf numFmtId="0" fontId="89" fillId="0" borderId="38" applyAlignment="1" pivotButton="0" quotePrefix="0" xfId="0">
      <alignment horizontal="center" vertical="center" wrapText="1"/>
    </xf>
    <xf numFmtId="0" fontId="90" fillId="0" borderId="38" applyAlignment="1" pivotButton="0" quotePrefix="0" xfId="0">
      <alignment horizontal="center" vertical="center"/>
    </xf>
    <xf numFmtId="0" fontId="89" fillId="0" borderId="2" applyAlignment="1" pivotButton="0" quotePrefix="0" xfId="0">
      <alignment horizontal="center" vertical="center"/>
    </xf>
    <xf numFmtId="0" fontId="91" fillId="0" borderId="0" applyAlignment="1" pivotButton="0" quotePrefix="0" xfId="0">
      <alignment horizontal="center" vertical="center"/>
    </xf>
    <xf numFmtId="0" fontId="78" fillId="0" borderId="120" applyAlignment="1" pivotButton="0" quotePrefix="0" xfId="0">
      <alignment horizontal="center" vertical="center"/>
    </xf>
    <xf numFmtId="0" fontId="87" fillId="0" borderId="1" applyAlignment="1" pivotButton="0" quotePrefix="0" xfId="0">
      <alignment horizontal="center"/>
    </xf>
    <xf numFmtId="168" fontId="72" fillId="0" borderId="120" applyAlignment="1" pivotButton="0" quotePrefix="0" xfId="0">
      <alignment horizontal="right"/>
    </xf>
    <xf numFmtId="168" fontId="72" fillId="0" borderId="125" applyAlignment="1" pivotButton="0" quotePrefix="0" xfId="0">
      <alignment horizontal="right"/>
    </xf>
    <xf numFmtId="2" fontId="82" fillId="0" borderId="1" applyAlignment="1" pivotButton="0" quotePrefix="0" xfId="0">
      <alignment horizontal="center" vertical="center"/>
    </xf>
    <xf numFmtId="3" fontId="37" fillId="30" borderId="1" applyAlignment="1" pivotButton="0" quotePrefix="0" xfId="0">
      <alignment horizontal="center" vertical="center" wrapText="1"/>
    </xf>
    <xf numFmtId="0" fontId="37" fillId="21" borderId="1" applyAlignment="1" pivotButton="0" quotePrefix="0" xfId="0">
      <alignment horizontal="center" vertical="center" wrapText="1"/>
    </xf>
    <xf numFmtId="0" fontId="89" fillId="0" borderId="1" applyAlignment="1" pivotButton="0" quotePrefix="0" xfId="0">
      <alignment horizontal="center" vertical="center" wrapText="1"/>
    </xf>
    <xf numFmtId="3" fontId="71" fillId="0" borderId="120" pivotButton="0" quotePrefix="0" xfId="0"/>
    <xf numFmtId="3" fontId="71" fillId="0" borderId="126" pivotButton="0" quotePrefix="0" xfId="0"/>
    <xf numFmtId="3" fontId="28" fillId="0" borderId="2" pivotButton="0" quotePrefix="0" xfId="0"/>
    <xf numFmtId="3" fontId="71" fillId="0" borderId="128" pivotButton="0" quotePrefix="0" xfId="0"/>
    <xf numFmtId="3" fontId="71" fillId="0" borderId="0" pivotButton="0" quotePrefix="0" xfId="0"/>
    <xf numFmtId="3" fontId="71" fillId="0" borderId="127" pivotButton="0" quotePrefix="0" xfId="0"/>
    <xf numFmtId="0" fontId="4" fillId="21" borderId="6" applyAlignment="1" pivotButton="0" quotePrefix="0" xfId="0">
      <alignment horizontal="center" vertical="center"/>
    </xf>
    <xf numFmtId="0" fontId="65" fillId="14" borderId="1" applyAlignment="1" pivotButton="0" quotePrefix="0" xfId="0">
      <alignment horizontal="center" vertical="center"/>
    </xf>
    <xf numFmtId="0" fontId="86" fillId="14" borderId="1" applyAlignment="1" pivotButton="0" quotePrefix="0" xfId="0">
      <alignment horizontal="center" vertical="center"/>
    </xf>
    <xf numFmtId="0" fontId="93" fillId="0" borderId="1" pivotButton="0" quotePrefix="0" xfId="0"/>
    <xf numFmtId="0" fontId="79" fillId="0" borderId="1" pivotButton="0" quotePrefix="0" xfId="0"/>
    <xf numFmtId="0" fontId="38" fillId="0" borderId="1" pivotButton="0" quotePrefix="0" xfId="0"/>
    <xf numFmtId="0" fontId="38" fillId="0" borderId="6" pivotButton="0" quotePrefix="0" xfId="0"/>
    <xf numFmtId="0" fontId="45" fillId="0" borderId="6" pivotButton="0" quotePrefix="0" xfId="0"/>
    <xf numFmtId="0" fontId="79" fillId="0" borderId="6" pivotButton="0" quotePrefix="0" xfId="0"/>
    <xf numFmtId="0" fontId="94" fillId="0" borderId="0" pivotButton="0" quotePrefix="0" xfId="0"/>
    <xf numFmtId="0" fontId="75" fillId="0" borderId="1" applyAlignment="1" pivotButton="0" quotePrefix="0" xfId="0">
      <alignment horizontal="center" vertical="center"/>
    </xf>
    <xf numFmtId="0" fontId="76" fillId="0" borderId="1" applyAlignment="1" pivotButton="0" quotePrefix="0" xfId="0">
      <alignment horizontal="center" vertical="center"/>
    </xf>
    <xf numFmtId="0" fontId="92" fillId="0" borderId="38" applyAlignment="1" pivotButton="0" quotePrefix="0" xfId="0">
      <alignment horizontal="center" vertical="center"/>
    </xf>
    <xf numFmtId="0" fontId="75" fillId="14" borderId="1" applyAlignment="1" pivotButton="0" quotePrefix="0" xfId="0">
      <alignment horizontal="center" vertical="center"/>
    </xf>
    <xf numFmtId="0" fontId="76" fillId="14" borderId="1" applyAlignment="1" pivotButton="0" quotePrefix="0" xfId="0">
      <alignment horizontal="center" vertical="center"/>
    </xf>
    <xf numFmtId="2" fontId="67" fillId="21" borderId="1" applyAlignment="1" pivotButton="0" quotePrefix="0" xfId="0">
      <alignment horizontal="center" vertical="center"/>
    </xf>
    <xf numFmtId="0" fontId="38" fillId="21" borderId="1" applyAlignment="1" pivotButton="0" quotePrefix="0" xfId="0">
      <alignment horizontal="center" vertical="center" wrapText="1"/>
    </xf>
    <xf numFmtId="166" fontId="82" fillId="0" borderId="1" applyAlignment="1" pivotButton="0" quotePrefix="0" xfId="0">
      <alignment horizontal="center" vertical="center" wrapText="1"/>
    </xf>
    <xf numFmtId="2" fontId="0" fillId="0" borderId="1" pivotButton="0" quotePrefix="0" xfId="0"/>
    <xf numFmtId="0" fontId="25" fillId="11" borderId="0" applyAlignment="1" pivotButton="0" quotePrefix="0" xfId="0">
      <alignment horizontal="left" vertical="center" indent="14"/>
    </xf>
    <xf numFmtId="0" fontId="55" fillId="0" borderId="1" applyAlignment="1" pivotButton="0" quotePrefix="0" xfId="0">
      <alignment horizontal="center" vertical="center"/>
    </xf>
    <xf numFmtId="0" fontId="0" fillId="0" borderId="129" pivotButton="0" quotePrefix="0" xfId="0"/>
    <xf numFmtId="0" fontId="0" fillId="0" borderId="130" pivotButton="0" quotePrefix="0" xfId="0"/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0" fillId="0" borderId="134" pivotButton="0" quotePrefix="0" xfId="0"/>
    <xf numFmtId="0" fontId="0" fillId="0" borderId="135" pivotButton="0" quotePrefix="0" xfId="0"/>
    <xf numFmtId="0" fontId="0" fillId="0" borderId="136" pivotButton="0" quotePrefix="0" xfId="0"/>
    <xf numFmtId="0" fontId="0" fillId="0" borderId="137" pivotButton="0" quotePrefix="0" xfId="0"/>
    <xf numFmtId="0" fontId="0" fillId="0" borderId="0" pivotButton="1" quotePrefix="0" xfId="0"/>
    <xf numFmtId="1" fontId="67" fillId="0" borderId="1" applyAlignment="1" pivotButton="0" quotePrefix="0" xfId="0">
      <alignment horizontal="center" vertical="center"/>
    </xf>
    <xf numFmtId="1" fontId="67" fillId="0" borderId="7" applyAlignment="1" pivotButton="0" quotePrefix="0" xfId="0">
      <alignment horizontal="center" vertical="center"/>
    </xf>
    <xf numFmtId="0" fontId="4" fillId="21" borderId="4" applyAlignment="1" pivotButton="0" quotePrefix="0" xfId="0">
      <alignment horizontal="center" vertical="center"/>
    </xf>
    <xf numFmtId="0" fontId="4" fillId="21" borderId="38" applyAlignment="1" pivotButton="0" quotePrefix="0" xfId="0">
      <alignment horizontal="center" vertical="center"/>
    </xf>
    <xf numFmtId="0" fontId="37" fillId="21" borderId="38" applyAlignment="1" pivotButton="0" quotePrefix="0" xfId="0">
      <alignment horizontal="center" vertical="center" wrapText="1"/>
    </xf>
    <xf numFmtId="0" fontId="4" fillId="21" borderId="2" applyAlignment="1" pivotButton="0" quotePrefix="0" xfId="0">
      <alignment horizontal="center" vertical="center"/>
    </xf>
    <xf numFmtId="1" fontId="4" fillId="21" borderId="1" applyAlignment="1" pivotButton="0" quotePrefix="0" xfId="0">
      <alignment horizontal="center" vertical="center"/>
    </xf>
    <xf numFmtId="0" fontId="56" fillId="27" borderId="2" applyAlignment="1" pivotButton="0" quotePrefix="0" xfId="0">
      <alignment horizontal="center" vertical="center"/>
    </xf>
    <xf numFmtId="0" fontId="95" fillId="0" borderId="1" applyAlignment="1" pivotButton="0" quotePrefix="0" xfId="0">
      <alignment horizontal="center" vertical="center"/>
    </xf>
    <xf numFmtId="2" fontId="37" fillId="21" borderId="1" applyAlignment="1" pivotButton="0" quotePrefix="0" xfId="0">
      <alignment horizontal="center" vertical="center" wrapText="1"/>
    </xf>
    <xf numFmtId="0" fontId="9" fillId="18" borderId="0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9" fillId="1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14" borderId="102" applyAlignment="1" pivotButton="0" quotePrefix="0" xfId="0">
      <alignment horizontal="center" vertical="center"/>
    </xf>
    <xf numFmtId="0" fontId="0" fillId="14" borderId="107" applyAlignment="1" pivotButton="0" quotePrefix="0" xfId="0">
      <alignment horizontal="center" vertical="center"/>
    </xf>
    <xf numFmtId="0" fontId="0" fillId="14" borderId="105" applyAlignment="1" pivotButton="0" quotePrefix="0" xfId="0">
      <alignment horizontal="center" vertical="center"/>
    </xf>
    <xf numFmtId="2" fontId="0" fillId="8" borderId="101" applyAlignment="1" pivotButton="0" quotePrefix="0" xfId="0">
      <alignment horizontal="center" vertical="center"/>
    </xf>
    <xf numFmtId="2" fontId="0" fillId="8" borderId="47" applyAlignment="1" pivotButton="0" quotePrefix="0" xfId="0">
      <alignment horizontal="center" vertical="center"/>
    </xf>
    <xf numFmtId="2" fontId="0" fillId="8" borderId="2" applyAlignment="1" pivotButton="0" quotePrefix="0" xfId="0">
      <alignment horizontal="center" vertical="center"/>
    </xf>
    <xf numFmtId="0" fontId="0" fillId="15" borderId="101" applyAlignment="1" pivotButton="0" quotePrefix="0" xfId="0">
      <alignment horizontal="center" vertical="center"/>
    </xf>
    <xf numFmtId="0" fontId="0" fillId="15" borderId="47" applyAlignment="1" pivotButton="0" quotePrefix="0" xfId="0">
      <alignment horizontal="center" vertical="center"/>
    </xf>
    <xf numFmtId="0" fontId="0" fillId="15" borderId="2" applyAlignment="1" pivotButton="0" quotePrefix="0" xfId="0">
      <alignment horizontal="center" vertical="center"/>
    </xf>
    <xf numFmtId="0" fontId="9" fillId="0" borderId="96" applyAlignment="1" pivotButton="0" quotePrefix="0" xfId="0">
      <alignment horizontal="center" vertical="center"/>
    </xf>
    <xf numFmtId="0" fontId="9" fillId="0" borderId="99" applyAlignment="1" pivotButton="0" quotePrefix="0" xfId="0">
      <alignment horizontal="center" vertical="center"/>
    </xf>
    <xf numFmtId="0" fontId="9" fillId="0" borderId="94" applyAlignment="1" pivotButton="0" quotePrefix="0" xfId="0">
      <alignment horizontal="center" vertical="center"/>
    </xf>
    <xf numFmtId="0" fontId="23" fillId="0" borderId="96" applyAlignment="1" pivotButton="0" quotePrefix="0" xfId="0">
      <alignment horizontal="center" vertical="center"/>
    </xf>
    <xf numFmtId="0" fontId="23" fillId="0" borderId="99" applyAlignment="1" pivotButton="0" quotePrefix="0" xfId="0">
      <alignment horizontal="center" vertical="center"/>
    </xf>
    <xf numFmtId="0" fontId="23" fillId="0" borderId="94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23" fillId="0" borderId="110" applyAlignment="1" pivotButton="0" quotePrefix="0" xfId="0">
      <alignment horizontal="center" vertical="center"/>
    </xf>
    <xf numFmtId="0" fontId="23" fillId="0" borderId="54" applyAlignment="1" pivotButton="0" quotePrefix="0" xfId="0">
      <alignment horizontal="center" vertical="center"/>
    </xf>
    <xf numFmtId="2" fontId="0" fillId="2" borderId="101" applyAlignment="1" pivotButton="0" quotePrefix="0" xfId="0">
      <alignment horizontal="center" vertical="center"/>
    </xf>
    <xf numFmtId="2" fontId="0" fillId="2" borderId="47" applyAlignment="1" pivotButton="0" quotePrefix="0" xfId="0">
      <alignment horizontal="center" vertical="center"/>
    </xf>
    <xf numFmtId="2" fontId="0" fillId="2" borderId="2" applyAlignment="1" pivotButton="0" quotePrefix="0" xfId="0">
      <alignment horizontal="center" vertical="center"/>
    </xf>
    <xf numFmtId="0" fontId="0" fillId="15" borderId="4" applyAlignment="1" pivotButton="0" quotePrefix="0" xfId="0">
      <alignment horizontal="center" vertical="center"/>
    </xf>
    <xf numFmtId="2" fontId="0" fillId="2" borderId="4" applyAlignment="1" pivotButton="0" quotePrefix="0" xfId="0">
      <alignment horizontal="center" vertical="center"/>
    </xf>
    <xf numFmtId="0" fontId="0" fillId="14" borderId="104" applyAlignment="1" pivotButton="0" quotePrefix="0" xfId="0">
      <alignment horizontal="center" vertical="center"/>
    </xf>
    <xf numFmtId="2" fontId="0" fillId="8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2" fontId="9" fillId="7" borderId="55" applyAlignment="1" pivotButton="0" quotePrefix="0" xfId="0">
      <alignment horizontal="center" vertical="center" wrapText="1"/>
    </xf>
    <xf numFmtId="2" fontId="9" fillId="7" borderId="28" applyAlignment="1" pivotButton="0" quotePrefix="0" xfId="0">
      <alignment horizontal="center" vertical="center"/>
    </xf>
    <xf numFmtId="2" fontId="9" fillId="7" borderId="41" applyAlignment="1" pivotButton="0" quotePrefix="0" xfId="0">
      <alignment horizontal="center" vertical="center" wrapText="1"/>
    </xf>
    <xf numFmtId="2" fontId="9" fillId="7" borderId="43" applyAlignment="1" pivotButton="0" quotePrefix="0" xfId="0">
      <alignment horizontal="center" vertical="center"/>
    </xf>
    <xf numFmtId="2" fontId="9" fillId="7" borderId="44" applyAlignment="1" pivotButton="0" quotePrefix="0" xfId="0">
      <alignment horizontal="center" vertical="center"/>
    </xf>
    <xf numFmtId="2" fontId="9" fillId="7" borderId="41" applyAlignment="1" pivotButton="0" quotePrefix="0" xfId="0">
      <alignment horizontal="center" vertical="center"/>
    </xf>
    <xf numFmtId="2" fontId="9" fillId="7" borderId="57" applyAlignment="1" pivotButton="0" quotePrefix="0" xfId="0">
      <alignment horizontal="center" vertical="center"/>
    </xf>
    <xf numFmtId="2" fontId="9" fillId="7" borderId="58" applyAlignment="1" pivotButton="0" quotePrefix="0" xfId="0">
      <alignment horizontal="center" vertical="center"/>
    </xf>
    <xf numFmtId="2" fontId="9" fillId="7" borderId="5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2" borderId="19" applyAlignment="1" pivotButton="0" quotePrefix="0" xfId="0">
      <alignment horizontal="center" vertical="center"/>
    </xf>
    <xf numFmtId="165" fontId="9" fillId="2" borderId="1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/>
    </xf>
    <xf numFmtId="0" fontId="11" fillId="5" borderId="18" applyAlignment="1" pivotButton="0" quotePrefix="0" xfId="0">
      <alignment horizontal="center" vertical="center"/>
    </xf>
    <xf numFmtId="0" fontId="11" fillId="5" borderId="74" applyAlignment="1" pivotButton="0" quotePrefix="0" xfId="0">
      <alignment horizontal="center" vertical="center"/>
    </xf>
    <xf numFmtId="0" fontId="16" fillId="2" borderId="29" applyAlignment="1" pivotButton="0" quotePrefix="0" xfId="0">
      <alignment horizontal="center" vertical="center"/>
    </xf>
    <xf numFmtId="0" fontId="16" fillId="2" borderId="31" applyAlignment="1" pivotButton="0" quotePrefix="0" xfId="0">
      <alignment horizontal="center" vertical="center"/>
    </xf>
    <xf numFmtId="165" fontId="9" fillId="2" borderId="34" applyAlignment="1" pivotButton="0" quotePrefix="0" xfId="0">
      <alignment horizontal="center" vertical="center"/>
    </xf>
    <xf numFmtId="165" fontId="9" fillId="2" borderId="35" applyAlignment="1" pivotButton="0" quotePrefix="0" xfId="0">
      <alignment horizontal="center" vertical="center"/>
    </xf>
    <xf numFmtId="165" fontId="9" fillId="2" borderId="42" applyAlignment="1" pivotButton="0" quotePrefix="0" xfId="0">
      <alignment horizontal="center" vertical="center"/>
    </xf>
    <xf numFmtId="165" fontId="9" fillId="2" borderId="8" applyAlignment="1" pivotButton="0" quotePrefix="0" xfId="0">
      <alignment horizontal="center" vertical="center"/>
    </xf>
    <xf numFmtId="165" fontId="9" fillId="2" borderId="5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11" fillId="2" borderId="47" applyAlignment="1" pivotButton="0" quotePrefix="0" xfId="0">
      <alignment horizontal="center" vertical="center"/>
    </xf>
    <xf numFmtId="0" fontId="11" fillId="2" borderId="25" applyAlignment="1" pivotButton="0" quotePrefix="0" xfId="0">
      <alignment horizontal="center" vertical="center"/>
    </xf>
    <xf numFmtId="165" fontId="9" fillId="2" borderId="2" applyAlignment="1" pivotButton="0" quotePrefix="0" xfId="0">
      <alignment horizontal="center" vertical="center"/>
    </xf>
    <xf numFmtId="0" fontId="9" fillId="2" borderId="49" applyAlignment="1" pivotButton="0" quotePrefix="0" xfId="0">
      <alignment horizontal="center" vertical="center"/>
    </xf>
    <xf numFmtId="0" fontId="9" fillId="2" borderId="50" applyAlignment="1" pivotButton="0" quotePrefix="0" xfId="0">
      <alignment horizontal="center" vertical="center"/>
    </xf>
    <xf numFmtId="0" fontId="9" fillId="2" borderId="53" applyAlignment="1" pivotButton="0" quotePrefix="0" xfId="0">
      <alignment horizontal="center" vertical="center"/>
    </xf>
    <xf numFmtId="165" fontId="9" fillId="2" borderId="66" applyAlignment="1" pivotButton="0" quotePrefix="0" xfId="0">
      <alignment horizontal="center" vertical="center"/>
    </xf>
    <xf numFmtId="165" fontId="9" fillId="2" borderId="69" applyAlignment="1" pivotButton="0" quotePrefix="0" xfId="0">
      <alignment horizontal="center" vertical="center"/>
    </xf>
    <xf numFmtId="165" fontId="9" fillId="2" borderId="77" applyAlignment="1" pivotButton="0" quotePrefix="0" xfId="0">
      <alignment horizontal="center" vertical="center"/>
    </xf>
    <xf numFmtId="165" fontId="9" fillId="2" borderId="70" applyAlignment="1" pivotButton="0" quotePrefix="0" xfId="0">
      <alignment horizontal="center" vertical="center"/>
    </xf>
    <xf numFmtId="165" fontId="9" fillId="2" borderId="71" applyAlignment="1" pivotButton="0" quotePrefix="0" xfId="0">
      <alignment horizontal="center" vertical="center"/>
    </xf>
    <xf numFmtId="0" fontId="9" fillId="2" borderId="12" applyAlignment="1" pivotButton="0" quotePrefix="0" xfId="0">
      <alignment horizontal="center" vertical="center"/>
    </xf>
    <xf numFmtId="0" fontId="9" fillId="2" borderId="22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165" fontId="9" fillId="2" borderId="16" applyAlignment="1" pivotButton="0" quotePrefix="0" xfId="0">
      <alignment horizontal="center" vertical="center"/>
    </xf>
    <xf numFmtId="165" fontId="9" fillId="2" borderId="15" applyAlignment="1" pivotButton="0" quotePrefix="0" xfId="0">
      <alignment horizontal="center" vertical="center"/>
    </xf>
    <xf numFmtId="165" fontId="9" fillId="2" borderId="26" applyAlignment="1" pivotButton="0" quotePrefix="0" xfId="0">
      <alignment horizontal="center" vertical="center"/>
    </xf>
    <xf numFmtId="165" fontId="9" fillId="2" borderId="75" applyAlignment="1" pivotButton="0" quotePrefix="0" xfId="0">
      <alignment horizontal="center" vertical="center"/>
    </xf>
    <xf numFmtId="165" fontId="9" fillId="2" borderId="24" applyAlignment="1" pivotButton="0" quotePrefix="0" xfId="0">
      <alignment horizontal="center" vertical="center"/>
    </xf>
    <xf numFmtId="165" fontId="9" fillId="2" borderId="37" applyAlignment="1" pivotButton="0" quotePrefix="0" xfId="0">
      <alignment horizontal="center" vertical="center"/>
    </xf>
    <xf numFmtId="0" fontId="16" fillId="2" borderId="18" applyAlignment="1" pivotButton="0" quotePrefix="0" xfId="0">
      <alignment horizontal="center" vertical="center"/>
    </xf>
    <xf numFmtId="0" fontId="16" fillId="2" borderId="6" applyAlignment="1" pivotButton="0" quotePrefix="0" xfId="0">
      <alignment horizontal="center" vertical="center"/>
    </xf>
    <xf numFmtId="0" fontId="16" fillId="2" borderId="3" applyAlignment="1" pivotButton="0" quotePrefix="0" xfId="0">
      <alignment horizontal="center" vertical="center"/>
    </xf>
    <xf numFmtId="165" fontId="9" fillId="2" borderId="61" applyAlignment="1" pivotButton="0" quotePrefix="0" xfId="0">
      <alignment horizontal="center" vertical="center"/>
    </xf>
    <xf numFmtId="0" fontId="16" fillId="2" borderId="14" applyAlignment="1" pivotButton="0" quotePrefix="0" xfId="0">
      <alignment horizontal="center" vertical="center"/>
    </xf>
    <xf numFmtId="0" fontId="9" fillId="2" borderId="81" applyAlignment="1" pivotButton="0" quotePrefix="0" xfId="0">
      <alignment horizontal="center" vertical="center"/>
    </xf>
    <xf numFmtId="0" fontId="9" fillId="2" borderId="82" applyAlignment="1" pivotButton="0" quotePrefix="0" xfId="0">
      <alignment horizontal="center" vertical="center"/>
    </xf>
    <xf numFmtId="165" fontId="9" fillId="2" borderId="87" applyAlignment="1" pivotButton="0" quotePrefix="0" xfId="0">
      <alignment horizontal="center" vertical="center"/>
    </xf>
    <xf numFmtId="165" fontId="9" fillId="2" borderId="67" applyAlignment="1" pivotButton="0" quotePrefix="0" xfId="0">
      <alignment horizontal="center" vertical="center"/>
    </xf>
    <xf numFmtId="165" fontId="9" fillId="2" borderId="68" applyAlignment="1" pivotButton="0" quotePrefix="0" xfId="0">
      <alignment horizontal="center" vertical="center"/>
    </xf>
    <xf numFmtId="165" fontId="9" fillId="2" borderId="76" applyAlignment="1" pivotButton="0" quotePrefix="0" xfId="0">
      <alignment horizontal="center" vertical="center"/>
    </xf>
    <xf numFmtId="165" fontId="9" fillId="2" borderId="64" applyAlignment="1" pivotButton="0" quotePrefix="0" xfId="0">
      <alignment horizontal="center" vertical="center"/>
    </xf>
    <xf numFmtId="165" fontId="9" fillId="2" borderId="79" applyAlignment="1" pivotButton="0" quotePrefix="0" xfId="0">
      <alignment horizontal="center" vertical="center"/>
    </xf>
    <xf numFmtId="165" fontId="9" fillId="2" borderId="65" applyAlignment="1" pivotButton="0" quotePrefix="0" xfId="0">
      <alignment horizontal="center" vertical="center"/>
    </xf>
    <xf numFmtId="0" fontId="9" fillId="2" borderId="55" applyAlignment="1" pivotButton="0" quotePrefix="0" xfId="0">
      <alignment horizontal="center" vertical="center"/>
    </xf>
    <xf numFmtId="0" fontId="9" fillId="2" borderId="28" applyAlignment="1" pivotButton="0" quotePrefix="0" xfId="0">
      <alignment horizontal="center" vertical="center"/>
    </xf>
    <xf numFmtId="0" fontId="9" fillId="2" borderId="51" applyAlignment="1" pivotButton="0" quotePrefix="0" xfId="0">
      <alignment horizontal="center" vertical="center"/>
    </xf>
    <xf numFmtId="165" fontId="9" fillId="2" borderId="7" applyAlignment="1" pivotButton="0" quotePrefix="0" xfId="0">
      <alignment horizontal="center" vertical="center"/>
    </xf>
    <xf numFmtId="165" fontId="9" fillId="2" borderId="6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5" borderId="88" applyAlignment="1" pivotButton="0" quotePrefix="0" xfId="0">
      <alignment horizontal="center" vertical="center"/>
    </xf>
    <xf numFmtId="0" fontId="9" fillId="6" borderId="7" applyAlignment="1" pivotButton="0" quotePrefix="0" xfId="0">
      <alignment horizontal="center" vertical="center"/>
    </xf>
    <xf numFmtId="0" fontId="9" fillId="6" borderId="18" applyAlignment="1" pivotButton="0" quotePrefix="0" xfId="0">
      <alignment horizontal="center" vertical="center"/>
    </xf>
    <xf numFmtId="0" fontId="9" fillId="6" borderId="6" applyAlignment="1" pivotButton="0" quotePrefix="0" xfId="0">
      <alignment horizontal="center" vertical="center"/>
    </xf>
    <xf numFmtId="0" fontId="9" fillId="6" borderId="21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9" fillId="6" borderId="7" applyAlignment="1" pivotButton="0" quotePrefix="1" xfId="0">
      <alignment horizontal="center" vertical="center" shrinkToFit="1"/>
    </xf>
    <xf numFmtId="0" fontId="9" fillId="6" borderId="18" applyAlignment="1" pivotButton="0" quotePrefix="1" xfId="0">
      <alignment horizontal="center" vertical="center" shrinkToFit="1"/>
    </xf>
    <xf numFmtId="0" fontId="9" fillId="6" borderId="6" applyAlignment="1" pivotButton="0" quotePrefix="1" xfId="0">
      <alignment horizontal="center" vertical="center" shrinkToFit="1"/>
    </xf>
    <xf numFmtId="0" fontId="9" fillId="11" borderId="7" applyAlignment="1" pivotButton="0" quotePrefix="0" xfId="0">
      <alignment horizontal="center" vertical="center"/>
    </xf>
    <xf numFmtId="0" fontId="9" fillId="11" borderId="18" applyAlignment="1" pivotButton="0" quotePrefix="0" xfId="0">
      <alignment horizontal="center" vertical="center"/>
    </xf>
    <xf numFmtId="0" fontId="9" fillId="11" borderId="6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7" applyAlignment="1" pivotButton="0" quotePrefix="0" xfId="0">
      <alignment horizontal="center" vertical="center" shrinkToFit="1"/>
    </xf>
    <xf numFmtId="0" fontId="9" fillId="6" borderId="18" applyAlignment="1" pivotButton="0" quotePrefix="0" xfId="0">
      <alignment horizontal="center" vertical="center" shrinkToFit="1"/>
    </xf>
    <xf numFmtId="0" fontId="9" fillId="6" borderId="6" applyAlignment="1" pivotButton="0" quotePrefix="0" xfId="0">
      <alignment horizontal="center" vertical="center" shrinkToFit="1"/>
    </xf>
    <xf numFmtId="0" fontId="9" fillId="8" borderId="7" applyAlignment="1" pivotButton="0" quotePrefix="1" xfId="0">
      <alignment horizontal="center" vertical="center" shrinkToFit="1"/>
    </xf>
    <xf numFmtId="0" fontId="9" fillId="8" borderId="18" applyAlignment="1" pivotButton="0" quotePrefix="1" xfId="0">
      <alignment horizontal="center" vertical="center" shrinkToFit="1"/>
    </xf>
    <xf numFmtId="0" fontId="9" fillId="8" borderId="6" applyAlignment="1" pivotButton="0" quotePrefix="1" xfId="0">
      <alignment horizontal="center" vertical="center" shrinkToFit="1"/>
    </xf>
    <xf numFmtId="0" fontId="9" fillId="8" borderId="7" applyAlignment="1" pivotButton="0" quotePrefix="0" xfId="0">
      <alignment horizontal="center" vertical="center"/>
    </xf>
    <xf numFmtId="0" fontId="9" fillId="8" borderId="18" applyAlignment="1" pivotButton="0" quotePrefix="0" xfId="0">
      <alignment horizontal="center" vertical="center"/>
    </xf>
    <xf numFmtId="0" fontId="9" fillId="8" borderId="6" applyAlignment="1" pivotButton="0" quotePrefix="0" xfId="0">
      <alignment horizontal="center" vertical="center"/>
    </xf>
    <xf numFmtId="0" fontId="9" fillId="8" borderId="21" applyAlignment="1" pivotButton="0" quotePrefix="0" xfId="0">
      <alignment horizontal="center" vertical="center"/>
    </xf>
    <xf numFmtId="0" fontId="9" fillId="8" borderId="5" applyAlignment="1" pivotButton="0" quotePrefix="0" xfId="0">
      <alignment horizontal="center" vertical="center"/>
    </xf>
    <xf numFmtId="0" fontId="9" fillId="8" borderId="7" applyAlignment="1" pivotButton="0" quotePrefix="0" xfId="0">
      <alignment horizontal="center" vertical="center" shrinkToFit="1"/>
    </xf>
    <xf numFmtId="0" fontId="9" fillId="8" borderId="18" applyAlignment="1" pivotButton="0" quotePrefix="0" xfId="0">
      <alignment horizontal="center" vertical="center" shrinkToFit="1"/>
    </xf>
    <xf numFmtId="0" fontId="9" fillId="8" borderId="6" applyAlignment="1" pivotButton="0" quotePrefix="0" xfId="0">
      <alignment horizontal="center" vertical="center" shrinkToFit="1"/>
    </xf>
    <xf numFmtId="0" fontId="9" fillId="10" borderId="7" applyAlignment="1" pivotButton="0" quotePrefix="0" xfId="0">
      <alignment horizontal="center" vertical="center"/>
    </xf>
    <xf numFmtId="0" fontId="9" fillId="10" borderId="18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05" pivotButton="0" quotePrefix="0" xfId="0"/>
    <xf numFmtId="0" fontId="23" fillId="0" borderId="32" applyAlignment="1" pivotButton="0" quotePrefix="0" xfId="0">
      <alignment horizontal="center" vertical="center"/>
    </xf>
    <xf numFmtId="0" fontId="0" fillId="0" borderId="99" pivotButton="0" quotePrefix="0" xfId="0"/>
    <xf numFmtId="0" fontId="0" fillId="0" borderId="94" pivotButton="0" quotePrefix="0" xfId="0"/>
    <xf numFmtId="0" fontId="0" fillId="0" borderId="47" pivotButton="0" quotePrefix="0" xfId="0"/>
    <xf numFmtId="0" fontId="0" fillId="0" borderId="107" pivotButton="0" quotePrefix="0" xfId="0"/>
    <xf numFmtId="0" fontId="23" fillId="0" borderId="140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54" pivotButton="0" quotePrefix="0" xfId="0"/>
    <xf numFmtId="0" fontId="9" fillId="2" borderId="27" applyAlignment="1" pivotButton="0" quotePrefix="0" xfId="0">
      <alignment horizontal="center" vertical="center"/>
    </xf>
    <xf numFmtId="165" fontId="9" fillId="2" borderId="15" applyAlignment="1" pivotButton="0" quotePrefix="0" xfId="0">
      <alignment horizontal="center" vertical="center"/>
    </xf>
    <xf numFmtId="0" fontId="0" fillId="0" borderId="15" pivotButton="0" quotePrefix="0" xfId="0"/>
    <xf numFmtId="165" fontId="9" fillId="2" borderId="26" applyAlignment="1" pivotButton="0" quotePrefix="0" xfId="0">
      <alignment horizontal="center" vertical="center"/>
    </xf>
    <xf numFmtId="0" fontId="0" fillId="0" borderId="75" pivotButton="0" quotePrefix="0" xfId="0"/>
    <xf numFmtId="165" fontId="9" fillId="2" borderId="42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42" pivotButton="0" quotePrefix="0" xfId="0"/>
    <xf numFmtId="2" fontId="9" fillId="7" borderId="147" applyAlignment="1" pivotButton="0" quotePrefix="0" xfId="0">
      <alignment horizontal="center" vertical="center"/>
    </xf>
    <xf numFmtId="0" fontId="0" fillId="0" borderId="28" pivotButton="0" quotePrefix="0" xfId="0"/>
    <xf numFmtId="165" fontId="9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9" fillId="2" borderId="1" applyAlignment="1" pivotButton="0" quotePrefix="0" xfId="0">
      <alignment horizontal="center" vertical="center"/>
    </xf>
    <xf numFmtId="0" fontId="11" fillId="5" borderId="103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74" pivotButton="0" quotePrefix="0" xfId="0"/>
    <xf numFmtId="0" fontId="16" fillId="2" borderId="1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1" pivotButton="0" quotePrefix="0" xfId="0"/>
    <xf numFmtId="0" fontId="0" fillId="0" borderId="25" pivotButton="0" quotePrefix="0" xfId="0"/>
    <xf numFmtId="0" fontId="0" fillId="0" borderId="44" pivotButton="0" quotePrefix="0" xfId="0"/>
    <xf numFmtId="165" fontId="9" fillId="2" borderId="144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165" fontId="9" fillId="2" borderId="76" applyAlignment="1" pivotButton="0" quotePrefix="0" xfId="0">
      <alignment horizontal="center" vertical="center"/>
    </xf>
    <xf numFmtId="0" fontId="0" fillId="0" borderId="76" pivotButton="0" quotePrefix="0" xfId="0"/>
    <xf numFmtId="165" fontId="9" fillId="2" borderId="68" applyAlignment="1" pivotButton="0" quotePrefix="0" xfId="0">
      <alignment horizontal="center" vertical="center"/>
    </xf>
    <xf numFmtId="0" fontId="0" fillId="0" borderId="82" pivotButton="0" quotePrefix="0" xfId="0"/>
    <xf numFmtId="0" fontId="16" fillId="2" borderId="98" applyAlignment="1" pivotButton="0" quotePrefix="0" xfId="0">
      <alignment horizontal="center" vertical="center"/>
    </xf>
    <xf numFmtId="165" fontId="9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9" fillId="2" borderId="2" applyAlignment="1" pivotButton="0" quotePrefix="0" xfId="0">
      <alignment horizontal="center" vertical="center"/>
    </xf>
    <xf numFmtId="0" fontId="11" fillId="5" borderId="142" applyAlignment="1" pivotButton="0" quotePrefix="0" xfId="0">
      <alignment horizontal="center" vertical="center"/>
    </xf>
    <xf numFmtId="0" fontId="0" fillId="0" borderId="88" pivotButton="0" quotePrefix="0" xfId="0"/>
    <xf numFmtId="0" fontId="9" fillId="2" borderId="148" applyAlignment="1" pivotButton="0" quotePrefix="0" xfId="0">
      <alignment horizontal="center" vertical="center"/>
    </xf>
    <xf numFmtId="165" fontId="9" fillId="2" borderId="66" applyAlignment="1" pivotButton="0" quotePrefix="0" xfId="0">
      <alignment horizontal="center" vertical="center"/>
    </xf>
    <xf numFmtId="0" fontId="0" fillId="0" borderId="66" pivotButton="0" quotePrefix="0" xfId="0"/>
    <xf numFmtId="165" fontId="9" fillId="2" borderId="69" applyAlignment="1" pivotButton="0" quotePrefix="0" xfId="0">
      <alignment horizontal="center" vertical="center"/>
    </xf>
    <xf numFmtId="0" fontId="0" fillId="0" borderId="77" pivotButton="0" quotePrefix="0" xfId="0"/>
    <xf numFmtId="165" fontId="9" fillId="2" borderId="149" applyAlignment="1" pivotButton="0" quotePrefix="0" xfId="0">
      <alignment horizontal="center" vertical="center"/>
    </xf>
    <xf numFmtId="2" fontId="9" fillId="7" borderId="150" applyAlignment="1" pivotButton="0" quotePrefix="0" xfId="0">
      <alignment horizontal="center" vertical="center"/>
    </xf>
    <xf numFmtId="2" fontId="9" fillId="7" borderId="147" applyAlignment="1" pivotButton="0" quotePrefix="0" xfId="0">
      <alignment horizontal="center" vertical="center" wrapText="1"/>
    </xf>
    <xf numFmtId="0" fontId="0" fillId="0" borderId="50" pivotButton="0" quotePrefix="0" xfId="0"/>
    <xf numFmtId="0" fontId="0" fillId="0" borderId="58" pivotButton="0" quotePrefix="0" xfId="0"/>
    <xf numFmtId="0" fontId="0" fillId="0" borderId="53" pivotButton="0" quotePrefix="0" xfId="0"/>
    <xf numFmtId="0" fontId="0" fillId="0" borderId="59" pivotButton="0" quotePrefix="0" xfId="0"/>
    <xf numFmtId="0" fontId="9" fillId="2" borderId="96" applyAlignment="1" pivotButton="0" quotePrefix="0" xfId="0">
      <alignment horizontal="center" vertical="center"/>
    </xf>
    <xf numFmtId="165" fontId="9" fillId="2" borderId="1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7" pivotButton="0" quotePrefix="0" xfId="0"/>
    <xf numFmtId="0" fontId="9" fillId="6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6" borderId="1" applyAlignment="1" pivotButton="0" quotePrefix="1" xfId="0">
      <alignment horizontal="center" vertical="center" shrinkToFit="1"/>
    </xf>
    <xf numFmtId="0" fontId="9" fillId="6" borderId="1" applyAlignment="1" pivotButton="0" quotePrefix="0" xfId="0">
      <alignment horizontal="center" vertical="center" shrinkToFit="1"/>
    </xf>
    <xf numFmtId="0" fontId="9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8" borderId="1" applyAlignment="1" pivotButton="0" quotePrefix="1" xfId="0">
      <alignment horizontal="center" vertical="center" shrinkToFit="1"/>
    </xf>
    <xf numFmtId="0" fontId="9" fillId="8" borderId="1" applyAlignment="1" pivotButton="0" quotePrefix="0" xfId="0">
      <alignment horizontal="center" vertical="center" shrinkToFit="1"/>
    </xf>
    <xf numFmtId="165" fontId="23" fillId="23" borderId="2" applyAlignment="1" pivotButton="0" quotePrefix="0" xfId="0">
      <alignment horizontal="center" vertical="center" wrapText="1"/>
    </xf>
    <xf numFmtId="165" fontId="23" fillId="5" borderId="2" applyAlignment="1" pivotButton="0" quotePrefix="0" xfId="0">
      <alignment horizontal="center" vertical="center" wrapText="1"/>
    </xf>
    <xf numFmtId="165" fontId="35" fillId="23" borderId="2" applyAlignment="1" pivotButton="0" quotePrefix="0" xfId="0">
      <alignment horizontal="center" vertical="center" wrapText="1"/>
    </xf>
    <xf numFmtId="165" fontId="35" fillId="5" borderId="2" applyAlignment="1" pivotButton="0" quotePrefix="0" xfId="0">
      <alignment horizontal="center" vertical="center" wrapText="1"/>
    </xf>
    <xf numFmtId="165" fontId="35" fillId="14" borderId="2" applyAlignment="1" pivotButton="0" quotePrefix="0" xfId="0">
      <alignment horizontal="center" vertical="center" wrapText="1"/>
    </xf>
    <xf numFmtId="165" fontId="35" fillId="15" borderId="2" applyAlignment="1" pivotButton="0" quotePrefix="0" xfId="0">
      <alignment horizontal="center" vertical="center" wrapText="1"/>
    </xf>
    <xf numFmtId="165" fontId="35" fillId="2" borderId="2" applyAlignment="1" pivotButton="0" quotePrefix="0" xfId="0">
      <alignment horizontal="center" vertical="center" wrapText="1"/>
    </xf>
    <xf numFmtId="165" fontId="46" fillId="2" borderId="2" applyAlignment="1" pivotButton="0" quotePrefix="0" xfId="0">
      <alignment horizontal="center" vertical="center" wrapText="1"/>
    </xf>
    <xf numFmtId="165" fontId="23" fillId="2" borderId="8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7" fontId="18" fillId="0" borderId="1" applyAlignment="1" pivotButton="0" quotePrefix="0" xfId="0">
      <alignment horizontal="center" vertical="center" wrapText="1"/>
    </xf>
    <xf numFmtId="164" fontId="25" fillId="0" borderId="1" applyAlignment="1" pivotButton="0" quotePrefix="0" xfId="0">
      <alignment horizontal="center" vertical="center"/>
    </xf>
    <xf numFmtId="168" fontId="28" fillId="0" borderId="1" pivotButton="0" quotePrefix="0" xfId="0"/>
    <xf numFmtId="168" fontId="71" fillId="0" borderId="114" applyAlignment="1" pivotButton="0" quotePrefix="0" xfId="0">
      <alignment horizontal="right"/>
    </xf>
    <xf numFmtId="168" fontId="72" fillId="0" borderId="120" applyAlignment="1" pivotButton="0" quotePrefix="0" xfId="0">
      <alignment horizontal="right"/>
    </xf>
    <xf numFmtId="166" fontId="4" fillId="21" borderId="1" applyAlignment="1" pivotButton="0" quotePrefix="0" xfId="0">
      <alignment horizontal="center" vertical="center" wrapText="1"/>
    </xf>
    <xf numFmtId="166" fontId="67" fillId="0" borderId="1" applyAlignment="1" pivotButton="0" quotePrefix="0" xfId="0">
      <alignment horizontal="center" vertical="center" wrapText="1"/>
    </xf>
    <xf numFmtId="166" fontId="67" fillId="0" borderId="1" applyAlignment="1" pivotButton="0" quotePrefix="0" xfId="0">
      <alignment horizontal="center" vertical="center"/>
    </xf>
    <xf numFmtId="167" fontId="67" fillId="0" borderId="1" applyAlignment="1" pivotButton="0" quotePrefix="0" xfId="0">
      <alignment horizontal="center" vertical="center"/>
    </xf>
    <xf numFmtId="169" fontId="48" fillId="15" borderId="1" applyAlignment="1" pivotButton="0" quotePrefix="0" xfId="0">
      <alignment horizontal="center" vertical="center"/>
    </xf>
    <xf numFmtId="166" fontId="82" fillId="0" borderId="1" applyAlignment="1" pivotButton="0" quotePrefix="0" xfId="0">
      <alignment horizontal="center" vertical="center" wrapText="1"/>
    </xf>
    <xf numFmtId="166" fontId="82" fillId="0" borderId="1" applyAlignment="1" pivotButton="0" quotePrefix="0" xfId="0">
      <alignment horizontal="center" vertical="center"/>
    </xf>
    <xf numFmtId="168" fontId="72" fillId="0" borderId="120" pivotButton="0" quotePrefix="0" xfId="0"/>
    <xf numFmtId="168" fontId="72" fillId="0" borderId="125" applyAlignment="1" pivotButton="0" quotePrefix="0" xfId="0">
      <alignment horizontal="right"/>
    </xf>
    <xf numFmtId="164" fontId="0" fillId="0" borderId="1" pivotButton="0" quotePrefix="0" xfId="0"/>
    <xf numFmtId="164" fontId="0" fillId="0" borderId="0" pivotButton="0" quotePrefix="0" xfId="0"/>
    <xf numFmtId="0" fontId="96" fillId="0" borderId="0" pivotButton="0" quotePrefix="0" xfId="0"/>
    <xf numFmtId="0" fontId="97" fillId="0" borderId="0" pivotButton="0" quotePrefix="0" xfId="0"/>
    <xf numFmtId="0" fontId="97" fillId="37" borderId="0" applyAlignment="1" pivotButton="0" quotePrefix="0" xfId="0">
      <alignment horizontal="center"/>
    </xf>
    <xf numFmtId="0" fontId="97" fillId="0" borderId="151" pivotButton="0" quotePrefix="0" xfId="0"/>
    <xf numFmtId="0" fontId="0" fillId="0" borderId="151" applyAlignment="1" pivotButton="0" quotePrefix="0" xfId="0">
      <alignment horizontal="left"/>
    </xf>
  </cellXfs>
  <cellStyles count="4">
    <cellStyle name="Normal" xfId="0" builtinId="0"/>
    <cellStyle name="Normal 3" xfId="1"/>
    <cellStyle name="Normal 2" xfId="2"/>
    <cellStyle name="Normal 2 2" xfId="3"/>
  </cellStyles>
  <dxfs count="250">
    <dxf>
      <font>
        <strike val="0"/>
        <outline val="0"/>
        <shadow val="0"/>
        <color auto="1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color auto="1"/>
        <vertAlign val="baseline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color auto="1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color auto="1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color auto="1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8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color auto="1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color auto="1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rgb="FF000000"/>
        </top>
      </border>
    </dxf>
    <dxf>
      <alignment horizontal="center" vertical="center"/>
    </dxf>
    <dxf>
      <font>
        <name val="Tahoma"/>
        <b val="1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indexed="64"/>
          <bgColor rgb="FFF8CCFF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numFmt numFmtId="35" formatCode="_-* #,##0.00_-;\-* #,##0.00_-;_-* &quot;-&quot;??_-;_-@_-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-* #,##0.00_-;\-* #,##0.00_-;_-* &quot;-&quot;??_-;_-@_-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249977111117893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249977111117893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90E0FC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90E0FC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fgColor indexed="64"/>
          <bgColor rgb="FF5ECEF7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5ECEF7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16B6F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16B6F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3092D9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3092D9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numFmt numFmtId="188" formatCode="_(* #,##0.00_);[Red]_(* \(#,##0.00\);_(* &quot;-&quot;_);_(@_)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numFmt numFmtId="2" formatCode="0.0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charset val="222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color auto="1"/>
        <vertAlign val="baseline"/>
      </font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charset val="222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charset val="222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charset val="222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color auto="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color auto="1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0" formatCode="General"/>
      <fill>
        <patternFill patternType="solid">
          <fgColor indexed="64"/>
          <bgColor theme="5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5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5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5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color auto="1"/>
        <sz val="8"/>
        <vertAlign val="baseline"/>
      </font>
      <numFmt numFmtId="0" formatCode="General"/>
      <fill>
        <patternFill>
          <fgColor indexed="64"/>
          <bgColor theme="5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5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8"/>
        <vertAlign val="baseline"/>
        <scheme val="minor"/>
      </font>
      <fill>
        <patternFill>
          <fgColor indexed="64"/>
          <bgColor theme="5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8"/>
        <vertAlign val="baseline"/>
        <scheme val="minor"/>
      </font>
      <fill>
        <patternFill>
          <fgColor indexed="64"/>
          <bgColor theme="5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0" formatCode="General"/>
      <fill>
        <patternFill>
          <fgColor indexed="64"/>
          <bgColor theme="9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charset val="222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rgb="FF000000"/>
          <bgColor rgb="FFE2EFDA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0" formatCode="General"/>
      <fill>
        <patternFill>
          <fgColor indexed="64"/>
          <bgColor theme="9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0" formatCode="General"/>
      <fill>
        <patternFill>
          <fgColor indexed="64"/>
          <bgColor theme="9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0" formatCode="General"/>
      <fill>
        <patternFill>
          <fgColor indexed="64"/>
          <bgColor theme="9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auto="1"/>
        <extend val="0"/>
        <sz val="8"/>
        <vertAlign val="baseline"/>
        <scheme val="minor"/>
      </font>
      <numFmt numFmtId="0" formatCode="General"/>
      <fill>
        <patternFill>
          <fgColor indexed="64"/>
          <bgColor theme="9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8"/>
        <vertAlign val="baseline"/>
        <scheme val="minor"/>
      </font>
      <fill>
        <patternFill>
          <bgColor theme="9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charset val="222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charset val="222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charset val="222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auto="1"/>
        <extend val="0"/>
        <sz val="13.5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auto="1"/>
        <extend val="0"/>
        <sz val="13.5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auto="1"/>
        <extend val="0"/>
        <sz val="13.5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auto="1"/>
        <extend val="0"/>
        <sz val="13.5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auto="1"/>
        <extend val="0"/>
        <sz val="13.5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family val="1"/>
        <b val="1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auto="1"/>
        <extend val="0"/>
        <sz val="13.5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 (Body)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 (Body)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 (Body)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 (Body)"/>
        <strike val="0"/>
        <outline val="0"/>
        <shadow val="0"/>
        <condense val="0"/>
        <color auto="1"/>
        <extend val="0"/>
        <sz val="8"/>
        <vertAlign val="baseline"/>
      </font>
      <fill>
        <patternFill patternType="solid">
          <fgColor indexed="64"/>
          <bgColor theme="4" tint="0.799981688894314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 (Body)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 (Body)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 (Body)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imes New Roman"/>
        <strike val="0"/>
        <outline val="0"/>
        <shadow val="0"/>
        <condense val="0"/>
        <color auto="1"/>
        <extend val="0"/>
        <sz val="13.5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theme="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theme="5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family val="2"/>
        <strike val="0"/>
        <outline val="0"/>
        <shadow val="0"/>
        <condense val="0"/>
        <color theme="1"/>
        <extend val="0"/>
        <sz val="8"/>
        <vertAlign val="baseline"/>
      </font>
      <fill>
        <patternFill patternType="solid">
          <fgColor indexed="64"/>
          <bgColor theme="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ndense val="0"/>
        <color rgb="FF000000"/>
        <extend val="0"/>
        <sz val="8"/>
        <vertAlign val="baseline"/>
      </font>
      <fill>
        <patternFill patternType="solid">
          <fgColor indexed="64"/>
          <bgColor rgb="FF00B050"/>
        </patternFill>
      </fill>
      <alignment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B050"/>
        </patternFill>
      </fill>
      <alignment horizontal="general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9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9"/>
        <vertAlign val="baseline"/>
      </font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charset val="222"/>
        <family val="2"/>
        <strike val="0"/>
        <outline val="0"/>
        <shadow val="0"/>
        <condense val="0"/>
        <color theme="1"/>
        <extend val="0"/>
        <sz val="8"/>
        <vertAlign val="baseline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strike val="0"/>
        <outline val="0"/>
        <shadow val="0"/>
        <color auto="1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rgb="FF000000"/>
        </top>
      </border>
    </dxf>
    <dxf>
      <alignment horizontal="center" vertical="center"/>
    </dxf>
    <dxf>
      <font>
        <name val="Tahoma"/>
        <b val="1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indexed="64"/>
          <bgColor rgb="FFF8CCFF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color rgb="FFFF0000"/>
      </font>
    </dxf>
    <dxf>
      <font>
        <color rgb="FF00B050"/>
      </font>
    </dxf>
    <dxf>
      <fill>
        <patternFill>
          <bgColor theme="5" tint="0.7999816888943144"/>
        </patternFill>
      </fill>
    </dxf>
    <dxf>
      <font>
        <name val="Tahoma"/>
        <strike val="0"/>
        <outline val="0"/>
        <shadow val="0"/>
        <sz val="10"/>
        <vertAlign val="baseline"/>
        <scheme val="minor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 outline="0">
        <left/>
        <right/>
        <top style="thin">
          <color indexed="64"/>
        </top>
        <bottom/>
      </border>
    </dxf>
    <dxf>
      <font>
        <name val="Tahoma"/>
        <strike val="0"/>
        <outline val="0"/>
        <shadow val="0"/>
        <sz val="10"/>
        <vertAlign val="baseline"/>
        <scheme val="minor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ahoma"/>
        <strike val="0"/>
        <outline val="0"/>
        <shadow val="0"/>
        <color theme="1"/>
        <sz val="9"/>
        <vertAlign val="baseline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center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ahoma"/>
        <strike val="0"/>
        <outline val="0"/>
        <shadow val="0"/>
        <color theme="1"/>
        <sz val="9"/>
        <vertAlign val="baseline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9"/>
        <vertAlign val="baseline"/>
        <scheme val="minor"/>
      </font>
      <alignment horizontal="center" vertical="center"/>
      <border outline="0">
        <left/>
        <right/>
        <top style="thin">
          <color indexed="64"/>
        </top>
        <bottom/>
      </border>
    </dxf>
    <dxf>
      <font>
        <name val="Tahoma"/>
        <strike val="0"/>
        <outline val="0"/>
        <shadow val="0"/>
        <sz val="10"/>
        <vertAlign val="baseline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center" vertical="center"/>
      <border outline="0">
        <left/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ndense val="0"/>
        <color theme="1"/>
        <extend val="0"/>
        <sz val="10"/>
        <vertAlign val="baseline"/>
      </font>
      <alignment horizontal="left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  <border outline="0">
        <left/>
        <right style="thin">
          <color indexed="64"/>
        </right>
        <top/>
        <bottom/>
      </border>
    </dxf>
    <dxf>
      <font>
        <name val="Tahoma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ahoma"/>
        <strike val="0"/>
        <outline val="0"/>
        <shadow val="0"/>
        <color theme="1"/>
        <sz val="10"/>
        <vertAlign val="baseline"/>
      </font>
      <alignment horizontal="general" shrinkToFit="1"/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alignment horizontal="general" vertical="center"/>
      <border outline="0">
        <left/>
        <right/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rgb="FFBDD7EE"/>
        </patternFill>
      </fill>
    </dxf>
    <dxf>
      <fill>
        <patternFill>
          <bgColor theme="5" tint="0.5999633777886288"/>
        </patternFill>
      </fill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numFmt numFmtId="0" formatCode="General"/>
      <alignment horizontal="center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/>
      <border outline="0">
        <left style="thin">
          <color indexed="64"/>
        </left>
        <right/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numFmt numFmtId="0" formatCode="General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numFmt numFmtId="0" formatCode="General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0" formatCode="General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numFmt numFmtId="0" formatCode="General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5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theme="4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theme="7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rgb="FFFADDFF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ADDFF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fill>
        <patternFill>
          <fgColor indexed="64"/>
          <bgColor theme="7" tint="0.7999816888943144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7" tint="0.7999816888943144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fill>
        <patternFill patternType="solid">
          <fgColor indexed="64"/>
          <bgColor rgb="FFFADDFF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FADDFF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fill>
        <patternFill/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fill>
        <patternFill/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name val="Tahoma"/>
        <strike val="0"/>
        <outline val="0"/>
        <shadow val="0"/>
        <color auto="1"/>
        <sz val="11"/>
        <vertAlign val="baseline"/>
        <scheme val="minor"/>
      </font>
      <fill>
        <patternFill/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/>
        <right style="thin">
          <color indexed="64"/>
        </right>
        <top style="thin">
          <color indexed="64"/>
        </top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3"/>
        <extend val="0"/>
        <sz val="11"/>
        <vertAlign val="baseline"/>
        <scheme val="minor"/>
      </font>
      <numFmt numFmtId="187" formatCode="B1mmm\-yy"/>
      <fill>
        <patternFill patternType="solid">
          <fgColor indexed="64"/>
          <bgColor theme="9" tint="0.5999938962981048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pivotCacheDefinition" Target="/xl/pivotCache/pivotCacheDefinition1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% Success New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'Dashboard'!D9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'Dashboard'!$A$10:$A$20</f>
            </numRef>
          </cat>
          <val>
            <numRef>
              <f>'Dashboard'!$D$10:$D$20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Success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 vs Sold New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'Dashboard'!$A$10:$A$20</f>
            </numRef>
          </cat>
          <val>
            <numRef>
              <f>'Dashboard'!$B$10:$B$20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จำนวนรายการ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pivotSource>
    <name>[1.Success และสาเหตุที่หยุดพัฒนา RTE 2026 (7-11 และ non 7-11) sent 13.5.26.xlsx]Pivot สรุปข้อมูล!PivotTable2</name>
    <fmtId val="0"/>
  </pivotSource>
  <chart>
    <pivotFmts>
      <pivotFmt>
        <idx val="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1"/>
          <showCatName val="0"/>
          <showSerName val="0"/>
          <showPercent val="0"/>
          <showBubbleSize val="0"/>
        </dLbl>
      </pivotFmt>
      <pivotFmt>
        <idx val="2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3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4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6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7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8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9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0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1"/>
        <spPr>
          <a:solidFill>
            <a:schemeClr val="accent1"/>
          </a:solidFill>
          <a:ln>
            <a:noFill/>
            <a:prstDash val="solid"/>
          </a:ln>
        </spPr>
        <marker>
          <symbol val="none"/>
          <spPr>
            <a:ln>
              <a:prstDash val="solid"/>
            </a:ln>
          </spPr>
        </marker>
        <dLbl>
          <idx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'Pivot สรุปข้อมูล'!$B$3:$B$5</f>
              <strCache>
                <ptCount val="1"/>
                <pt idx="0">
                  <v>Jan - Sum of New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'Pivot สรุปข้อมูล'!$A$6:$A$16</f>
              <strCache>
                <ptCount val="10"/>
                <pt idx="0">
                  <v>กับข้าว</v>
                </pt>
                <pt idx="1">
                  <v>ข้าวปั้น เครื่องเคียง</v>
                </pt>
                <pt idx="2">
                  <v>ข้าวและกับข้าว</v>
                </pt>
                <pt idx="3">
                  <v>ข้าวเหนียว สเต็ก</v>
                </pt>
                <pt idx="4">
                  <v>ติ่มซำ (นึ่ง)</v>
                </pt>
                <pt idx="5">
                  <v>ติ่มซำ รองท้อง (ทอด)</v>
                </pt>
                <pt idx="6">
                  <v>เบอร์เกอร์ รองท้อง</v>
                </pt>
                <pt idx="7">
                  <v>สลัด ยำ น้ำจิ้ม</v>
                </pt>
                <pt idx="8">
                  <v>เส้น (ข้าวไทย)</v>
                </pt>
                <pt idx="9">
                  <v xml:space="preserve">เส้น (แป้งสาลี) ซุป </v>
                </pt>
              </strCache>
            </strRef>
          </cat>
          <val>
            <numRef>
              <f>'Pivot สรุปข้อมูล'!$B$6:$B$16</f>
              <numCache>
                <formatCode>General</formatCode>
                <ptCount val="10"/>
                <pt idx="1">
                  <v>1</v>
                </pt>
                <pt idx="2">
                  <v>2</v>
                </pt>
                <pt idx="3">
                  <v>1</v>
                </pt>
                <pt idx="4">
                  <v>6</v>
                </pt>
                <pt idx="6">
                  <v>3</v>
                </pt>
                <pt idx="7">
                  <v>1</v>
                </pt>
              </numCache>
            </numRef>
          </val>
        </ser>
        <ser>
          <idx val="1"/>
          <order val="1"/>
          <tx>
            <strRef>
              <f>'Pivot สรุปข้อมูล'!$C$3:$C$5</f>
              <strCache>
                <ptCount val="1"/>
                <pt idx="0">
                  <v>Jan - Sum of Level
Up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'Pivot สรุปข้อมูล'!$A$6:$A$16</f>
              <strCache>
                <ptCount val="10"/>
                <pt idx="0">
                  <v>กับข้าว</v>
                </pt>
                <pt idx="1">
                  <v>ข้าวปั้น เครื่องเคียง</v>
                </pt>
                <pt idx="2">
                  <v>ข้าวและกับข้าว</v>
                </pt>
                <pt idx="3">
                  <v>ข้าวเหนียว สเต็ก</v>
                </pt>
                <pt idx="4">
                  <v>ติ่มซำ (นึ่ง)</v>
                </pt>
                <pt idx="5">
                  <v>ติ่มซำ รองท้อง (ทอด)</v>
                </pt>
                <pt idx="6">
                  <v>เบอร์เกอร์ รองท้อง</v>
                </pt>
                <pt idx="7">
                  <v>สลัด ยำ น้ำจิ้ม</v>
                </pt>
                <pt idx="8">
                  <v>เส้น (ข้าวไทย)</v>
                </pt>
                <pt idx="9">
                  <v xml:space="preserve">เส้น (แป้งสาลี) ซุป </v>
                </pt>
              </strCache>
            </strRef>
          </cat>
          <val>
            <numRef>
              <f>'Pivot สรุปข้อมูล'!$C$6:$C$16</f>
              <numCache>
                <formatCode>General</formatCode>
                <ptCount val="10"/>
                <pt idx="0">
                  <v>2</v>
                </pt>
                <pt idx="2">
                  <v>3</v>
                </pt>
                <pt idx="3">
                  <v>1</v>
                </pt>
                <pt idx="6">
                  <v>2</v>
                </pt>
              </numCache>
            </numRef>
          </val>
        </ser>
        <ser>
          <idx val="2"/>
          <order val="2"/>
          <tx>
            <strRef>
              <f>'Pivot สรุปข้อมูล'!$D$3:$D$5</f>
              <strCache>
                <ptCount val="1"/>
                <pt idx="0">
                  <v>Feb - Sum of New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'Pivot สรุปข้อมูล'!$A$6:$A$16</f>
              <strCache>
                <ptCount val="10"/>
                <pt idx="0">
                  <v>กับข้าว</v>
                </pt>
                <pt idx="1">
                  <v>ข้าวปั้น เครื่องเคียง</v>
                </pt>
                <pt idx="2">
                  <v>ข้าวและกับข้าว</v>
                </pt>
                <pt idx="3">
                  <v>ข้าวเหนียว สเต็ก</v>
                </pt>
                <pt idx="4">
                  <v>ติ่มซำ (นึ่ง)</v>
                </pt>
                <pt idx="5">
                  <v>ติ่มซำ รองท้อง (ทอด)</v>
                </pt>
                <pt idx="6">
                  <v>เบอร์เกอร์ รองท้อง</v>
                </pt>
                <pt idx="7">
                  <v>สลัด ยำ น้ำจิ้ม</v>
                </pt>
                <pt idx="8">
                  <v>เส้น (ข้าวไทย)</v>
                </pt>
                <pt idx="9">
                  <v xml:space="preserve">เส้น (แป้งสาลี) ซุป </v>
                </pt>
              </strCache>
            </strRef>
          </cat>
          <val>
            <numRef>
              <f>'Pivot สรุปข้อมูล'!$D$6:$D$16</f>
              <numCache>
                <formatCode>General</formatCode>
                <ptCount val="10"/>
                <pt idx="0">
                  <v>2</v>
                </pt>
                <pt idx="3">
                  <v>2</v>
                </pt>
                <pt idx="4">
                  <v>4</v>
                </pt>
                <pt idx="6">
                  <v>1</v>
                </pt>
                <pt idx="8">
                  <v>2</v>
                </pt>
              </numCache>
            </numRef>
          </val>
        </ser>
        <ser>
          <idx val="3"/>
          <order val="3"/>
          <tx>
            <strRef>
              <f>'Pivot สรุปข้อมูล'!$E$3:$E$5</f>
              <strCache>
                <ptCount val="1"/>
                <pt idx="0">
                  <v>Feb - Sum of Level
Up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'Pivot สรุปข้อมูล'!$A$6:$A$16</f>
              <strCache>
                <ptCount val="10"/>
                <pt idx="0">
                  <v>กับข้าว</v>
                </pt>
                <pt idx="1">
                  <v>ข้าวปั้น เครื่องเคียง</v>
                </pt>
                <pt idx="2">
                  <v>ข้าวและกับข้าว</v>
                </pt>
                <pt idx="3">
                  <v>ข้าวเหนียว สเต็ก</v>
                </pt>
                <pt idx="4">
                  <v>ติ่มซำ (นึ่ง)</v>
                </pt>
                <pt idx="5">
                  <v>ติ่มซำ รองท้อง (ทอด)</v>
                </pt>
                <pt idx="6">
                  <v>เบอร์เกอร์ รองท้อง</v>
                </pt>
                <pt idx="7">
                  <v>สลัด ยำ น้ำจิ้ม</v>
                </pt>
                <pt idx="8">
                  <v>เส้น (ข้าวไทย)</v>
                </pt>
                <pt idx="9">
                  <v xml:space="preserve">เส้น (แป้งสาลี) ซุป </v>
                </pt>
              </strCache>
            </strRef>
          </cat>
          <val>
            <numRef>
              <f>'Pivot สรุปข้อมูล'!$E$6:$E$16</f>
              <numCache>
                <formatCode>General</formatCode>
                <ptCount val="10"/>
                <pt idx="0">
                  <v>1</v>
                </pt>
                <pt idx="1">
                  <v>1</v>
                </pt>
                <pt idx="2">
                  <v>1</v>
                </pt>
                <pt idx="4">
                  <v>1</v>
                </pt>
                <pt idx="6">
                  <v>2</v>
                </pt>
              </numCache>
            </numRef>
          </val>
        </ser>
        <ser>
          <idx val="4"/>
          <order val="4"/>
          <tx>
            <strRef>
              <f>'Pivot สรุปข้อมูล'!$F$3:$F$5</f>
              <strCache>
                <ptCount val="1"/>
                <pt idx="0">
                  <v>Mar - Sum of New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'Pivot สรุปข้อมูล'!$A$6:$A$16</f>
              <strCache>
                <ptCount val="10"/>
                <pt idx="0">
                  <v>กับข้าว</v>
                </pt>
                <pt idx="1">
                  <v>ข้าวปั้น เครื่องเคียง</v>
                </pt>
                <pt idx="2">
                  <v>ข้าวและกับข้าว</v>
                </pt>
                <pt idx="3">
                  <v>ข้าวเหนียว สเต็ก</v>
                </pt>
                <pt idx="4">
                  <v>ติ่มซำ (นึ่ง)</v>
                </pt>
                <pt idx="5">
                  <v>ติ่มซำ รองท้อง (ทอด)</v>
                </pt>
                <pt idx="6">
                  <v>เบอร์เกอร์ รองท้อง</v>
                </pt>
                <pt idx="7">
                  <v>สลัด ยำ น้ำจิ้ม</v>
                </pt>
                <pt idx="8">
                  <v>เส้น (ข้าวไทย)</v>
                </pt>
                <pt idx="9">
                  <v xml:space="preserve">เส้น (แป้งสาลี) ซุป </v>
                </pt>
              </strCache>
            </strRef>
          </cat>
          <val>
            <numRef>
              <f>'Pivot สรุปข้อมูล'!$F$6:$F$16</f>
              <numCache>
                <formatCode>General</formatCode>
                <ptCount val="10"/>
                <pt idx="1">
                  <v>1</v>
                </pt>
                <pt idx="3">
                  <v>1</v>
                </pt>
                <pt idx="4">
                  <v>4</v>
                </pt>
                <pt idx="6">
                  <v>3</v>
                </pt>
                <pt idx="9">
                  <v>1</v>
                </pt>
              </numCache>
            </numRef>
          </val>
        </ser>
        <ser>
          <idx val="5"/>
          <order val="5"/>
          <tx>
            <strRef>
              <f>'Pivot สรุปข้อมูล'!$G$3:$G$5</f>
              <strCache>
                <ptCount val="1"/>
                <pt idx="0">
                  <v>Mar - Sum of Level
Up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'Pivot สรุปข้อมูล'!$A$6:$A$16</f>
              <strCache>
                <ptCount val="10"/>
                <pt idx="0">
                  <v>กับข้าว</v>
                </pt>
                <pt idx="1">
                  <v>ข้าวปั้น เครื่องเคียง</v>
                </pt>
                <pt idx="2">
                  <v>ข้าวและกับข้าว</v>
                </pt>
                <pt idx="3">
                  <v>ข้าวเหนียว สเต็ก</v>
                </pt>
                <pt idx="4">
                  <v>ติ่มซำ (นึ่ง)</v>
                </pt>
                <pt idx="5">
                  <v>ติ่มซำ รองท้อง (ทอด)</v>
                </pt>
                <pt idx="6">
                  <v>เบอร์เกอร์ รองท้อง</v>
                </pt>
                <pt idx="7">
                  <v>สลัด ยำ น้ำจิ้ม</v>
                </pt>
                <pt idx="8">
                  <v>เส้น (ข้าวไทย)</v>
                </pt>
                <pt idx="9">
                  <v xml:space="preserve">เส้น (แป้งสาลี) ซุป </v>
                </pt>
              </strCache>
            </strRef>
          </cat>
          <val>
            <numRef>
              <f>'Pivot สรุปข้อมูล'!$G$6:$G$16</f>
              <numCache>
                <formatCode>General</formatCode>
                <ptCount val="10"/>
                <pt idx="1">
                  <v>2</v>
                </pt>
                <pt idx="2">
                  <v>3</v>
                </pt>
                <pt idx="3">
                  <v>2</v>
                </pt>
                <pt idx="6">
                  <v>1</v>
                </pt>
                <pt idx="8">
                  <v>3</v>
                </pt>
                <pt idx="9">
                  <v>1</v>
                </pt>
              </numCache>
            </numRef>
          </val>
        </ser>
        <ser>
          <idx val="6"/>
          <order val="6"/>
          <tx>
            <strRef>
              <f>'Pivot สรุปข้อมูล'!$H$3:$H$5</f>
              <strCache>
                <ptCount val="1"/>
                <pt idx="0">
                  <v>Apr - Sum of New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'Pivot สรุปข้อมูล'!$A$6:$A$16</f>
              <strCache>
                <ptCount val="10"/>
                <pt idx="0">
                  <v>กับข้าว</v>
                </pt>
                <pt idx="1">
                  <v>ข้าวปั้น เครื่องเคียง</v>
                </pt>
                <pt idx="2">
                  <v>ข้าวและกับข้าว</v>
                </pt>
                <pt idx="3">
                  <v>ข้าวเหนียว สเต็ก</v>
                </pt>
                <pt idx="4">
                  <v>ติ่มซำ (นึ่ง)</v>
                </pt>
                <pt idx="5">
                  <v>ติ่มซำ รองท้อง (ทอด)</v>
                </pt>
                <pt idx="6">
                  <v>เบอร์เกอร์ รองท้อง</v>
                </pt>
                <pt idx="7">
                  <v>สลัด ยำ น้ำจิ้ม</v>
                </pt>
                <pt idx="8">
                  <v>เส้น (ข้าวไทย)</v>
                </pt>
                <pt idx="9">
                  <v xml:space="preserve">เส้น (แป้งสาลี) ซุป </v>
                </pt>
              </strCache>
            </strRef>
          </cat>
          <val>
            <numRef>
              <f>'Pivot สรุปข้อมูล'!$H$6:$H$16</f>
              <numCache>
                <formatCode>General</formatCode>
                <ptCount val="10"/>
                <pt idx="0">
                  <v>1</v>
                </pt>
                <pt idx="3">
                  <v>1</v>
                </pt>
                <pt idx="4">
                  <v>3</v>
                </pt>
                <pt idx="5">
                  <v>2</v>
                </pt>
                <pt idx="6">
                  <v>2</v>
                </pt>
                <pt idx="8">
                  <v>1</v>
                </pt>
              </numCache>
            </numRef>
          </val>
        </ser>
        <ser>
          <idx val="7"/>
          <order val="7"/>
          <tx>
            <strRef>
              <f>'Pivot สรุปข้อมูล'!$I$3:$I$5</f>
              <strCache>
                <ptCount val="1"/>
                <pt idx="0">
                  <v>Apr - Sum of Level
Up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'Pivot สรุปข้อมูล'!$A$6:$A$16</f>
              <strCache>
                <ptCount val="10"/>
                <pt idx="0">
                  <v>กับข้าว</v>
                </pt>
                <pt idx="1">
                  <v>ข้าวปั้น เครื่องเคียง</v>
                </pt>
                <pt idx="2">
                  <v>ข้าวและกับข้าว</v>
                </pt>
                <pt idx="3">
                  <v>ข้าวเหนียว สเต็ก</v>
                </pt>
                <pt idx="4">
                  <v>ติ่มซำ (นึ่ง)</v>
                </pt>
                <pt idx="5">
                  <v>ติ่มซำ รองท้อง (ทอด)</v>
                </pt>
                <pt idx="6">
                  <v>เบอร์เกอร์ รองท้อง</v>
                </pt>
                <pt idx="7">
                  <v>สลัด ยำ น้ำจิ้ม</v>
                </pt>
                <pt idx="8">
                  <v>เส้น (ข้าวไทย)</v>
                </pt>
                <pt idx="9">
                  <v xml:space="preserve">เส้น (แป้งสาลี) ซุป </v>
                </pt>
              </strCache>
            </strRef>
          </cat>
          <val>
            <numRef>
              <f>'Pivot สรุปข้อมูล'!$I$6:$I$16</f>
              <numCache>
                <formatCode>General</formatCode>
                <ptCount val="10"/>
                <pt idx="2">
                  <v>2</v>
                </pt>
                <pt idx="3">
                  <v>1</v>
                </pt>
                <pt idx="6">
                  <v>1</v>
                </pt>
                <pt idx="8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376624720"/>
        <axId val="1387139728"/>
      </barChart>
      <catAx>
        <axId val="1376624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h-TH"/>
          </a:p>
        </txPr>
        <crossAx val="1387139728"/>
        <crosses val="autoZero"/>
        <auto val="1"/>
        <lblAlgn val="ctr"/>
        <lblOffset val="100"/>
        <noMultiLvlLbl val="0"/>
      </catAx>
      <valAx>
        <axId val="13871397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h-TH"/>
          </a:p>
        </txPr>
        <crossAx val="137662472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th-TH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pivotSource>
    <name>[1.Success และสาเหตุที่หยุดพัฒนา RTE 2026 (7-11 และ non 7-11) sent 13.5.26.xlsx]Sheet2!PivotTable3</name>
    <fmtId val="0"/>
  </pivotSource>
  <chart>
    <plotArea>
      <layout/>
      <barChart>
        <barDir val="col"/>
        <grouping val="clustered"/>
        <varyColors val="0"/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514499040"/>
        <axId val="1033301888"/>
      </barChart>
      <catAx>
        <axId val="151449904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h-TH"/>
          </a:p>
        </txPr>
        <crossAx val="1033301888"/>
        <crosses val="autoZero"/>
        <auto val="1"/>
        <lblAlgn val="ctr"/>
        <lblOffset val="100"/>
        <noMultiLvlLbl val="0"/>
      </catAx>
      <valAx>
        <axId val="10333018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h-TH"/>
          </a:p>
        </txPr>
        <crossAx val="151449904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th-TH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Wiriyadamrikul</author>
  </authors>
  <commentList>
    <comment ref="D30" authorId="0" shapeId="0">
      <text>
        <t>Wiriyadamrikul:
บิบิบบัมผสมไก่แช่แข็ง</t>
      </text>
    </comment>
    <comment ref="D31" authorId="0" shapeId="0">
      <text>
        <t>Wiriyadamrikul:
หมูสับปรุงรส</t>
      </text>
    </comment>
    <comment ref="D32" authorId="0" shapeId="0">
      <text>
        <t>Wiriyadamrikul:
ข้าวผัดอเมริกัน</t>
      </text>
    </comment>
    <comment ref="D45" authorId="0" shapeId="0">
      <text>
        <t>Wiriyadamrikul:
ชิคเก้นป๊อปและนักเก็ตไก่</t>
      </text>
    </comment>
  </commentList>
</comments>
</file>

<file path=xl/comments/comment2.xml><?xml version="1.0" encoding="utf-8"?>
<comments xmlns="http://schemas.openxmlformats.org/spreadsheetml/2006/main">
  <authors>
    <author>Tanawan Wiriyadamrikul</author>
  </authors>
  <commentList>
    <comment ref="F3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  <comment ref="P3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  <comment ref="Z3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  <comment ref="A19" authorId="0" shapeId="0">
      <text>
        <t>Tanawan Wiriyadamrikul:
Kudsan&amp;Bellinee's</t>
      </text>
    </comment>
    <comment ref="F29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  <comment ref="P29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  <comment ref="Z29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  <comment ref="A45" authorId="0" shapeId="0">
      <text>
        <t xml:space="preserve">Tanawan Wiriyadamrikul:
Kudsan&amp;Bellinee's
</t>
      </text>
    </comment>
    <comment ref="F55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  <comment ref="P55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  <comment ref="Z55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  <comment ref="A71" authorId="0" shapeId="0">
      <text>
        <t>Tanawan Wiriyadamrikul:
Kudsan&amp;Bellinee's</t>
      </text>
    </comment>
    <comment ref="B77" authorId="0" shapeId="0">
      <text>
        <t>Tanawan Wiriyadamrikul:
มีแผน แต่ไม่ได้ขาย</t>
      </text>
    </comment>
    <comment ref="F81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  <comment ref="P81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  <comment ref="Z81" authorId="0" shapeId="0">
      <text>
        <t>Tanawan Wiriyadamrikul:
จำนวนสินค้าที่หยุดพัฒนา
หากทราบว่า สินค้าใดหยุดพัฒนาแน่นอนแล้ว สามารถมากรอกตามเดือนที่หยุดพัฒนาได้เลย หากสินค้าใดที่ยังไม่ทราบแน่ชัด ให้สรุปสุดท้ายที่ปลายปี
เช่น สินค้า A เป็นสินค้าตามแผน ได้รับ concept มาในเดือน ม.ค. แต่มาทราบผลว่า หยุดพัฒนาในเดือน เม.ย. ให้ลงในช่อง "หยุดพัฒนาตามแผน" ของเดือน เม.ย.
เช่น สินค้า B เป็นสินค้านอกแผน ได้รับ concept มาในเดือน ก.พ. แต่ตลอดทั้งปีไม่ทราบผลว่าจะได้ขายหรือไม่ ดังนั้น ให้ลงในช่อง "หยุดพัฒนานอกแผน" ของเดือน ธ.ค.</t>
      </text>
    </comment>
  </commentList>
</comments>
</file>

<file path=xl/comments/comment3.xml><?xml version="1.0" encoding="utf-8"?>
<comments xmlns="http://schemas.openxmlformats.org/spreadsheetml/2006/main">
  <authors>
    <author>Tanawan Wiriyadamrikul</author>
  </authors>
  <commentList>
    <comment ref="B3" authorId="0" shapeId="0">
      <text>
        <t>Tanawan Wiriyadamrikul:
เปา / ขนมจีบ / สาหร่าย / ฮะเก๋า /
Dumpling: เกี๊ยว / ก๋วยเตี๋ยวหลอด  (ภายใน/ส่งออก)</t>
      </text>
    </comment>
    <comment ref="B4" authorId="0" shapeId="0">
      <text>
        <t>Tanawan Wiriyadamrikul:
เบอร์เกอร์ขนมปัง (ภายใน/ส่งออก) / สินค้าย่าง (ภายใน)</t>
      </text>
    </comment>
    <comment ref="B8" authorId="0" shapeId="0">
      <text>
        <t>Tanawan Wiriyadamrikul:
แกงกะทิ, กับข้าวแห้ง, แกงจืด, แกงเห็ด  (ภายใน/ส่งออก)</t>
      </text>
    </comment>
    <comment ref="B10" authorId="0" shapeId="0">
      <text>
        <t>Tanawan Wiriyadamrikul:
เส้นทุกชนิดที่ทำจากแป้งสาลี, ซุปฝรั่ง / ซุปจานเดี่ยว 
( เช่น สุกี้น้ำ, กระเพาะปลา, เกี๊ยวน้ำ, เกาเหลา)  (ภายใน/ส่งออก)</t>
      </text>
    </comment>
    <comment ref="B11" authorId="0" shapeId="0">
      <text>
        <t>Tanawan Wiriyadamrikul:
เส้นหมี่ / วุ้นเส้น / ผัดไทย / เส้นใหญ่ / ขนมจีน  (ภายใน/ส่งออก)</t>
      </text>
    </comment>
    <comment ref="B13" authorId="0" shapeId="0">
      <text>
        <t>Tanawan Wiriyadamrikul:
นึ่ง/ย่าง (ส่งออก รง.1), ทอด (ภายใน/ส่งออก)</t>
      </text>
    </comment>
  </commentList>
</comments>
</file>

<file path=xl/comments/comment4.xml><?xml version="1.0" encoding="utf-8"?>
<comments xmlns="http://schemas.openxmlformats.org/spreadsheetml/2006/main">
  <authors>
    <author>Tanawan &lt;June&gt; Wiriyadamrikul</author>
  </authors>
  <commentList>
    <comment ref="G7" authorId="0" shapeId="0">
      <text>
        <t xml:space="preserve">Tanawan &lt;June&gt; Wiriyadamrikul:
9/6/25 หมิวขอเพิ่ม </t>
      </text>
    </comment>
  </commentList>
</comments>
</file>

<file path=xl/comments/comment5.xml><?xml version="1.0" encoding="utf-8"?>
<comments xmlns="http://schemas.openxmlformats.org/spreadsheetml/2006/main">
  <authors>
    <author>Tanawan Wiriyadamrikul</author>
  </authors>
  <commentList>
    <comment ref="HD1" authorId="0" shapeId="0">
      <text>
        <t>Tanawan Wiriyadamrikul:
KS&amp;BL</t>
      </text>
    </comment>
  </commentList>
</comments>
</file>

<file path=xl/comments/comment6.xml><?xml version="1.0" encoding="utf-8"?>
<comments xmlns="http://schemas.openxmlformats.org/spreadsheetml/2006/main">
  <authors>
    <author>Tanawan Wiriyadamrikul</author>
  </authors>
  <commentList>
    <comment ref="HD1" authorId="0" shapeId="0">
      <text>
        <t>Tanawan Wiriyadamrikul:
KS&amp;BL</t>
      </text>
    </comment>
  </commentList>
</comments>
</file>

<file path=xl/comments/comment7.xml><?xml version="1.0" encoding="utf-8"?>
<comments xmlns="http://schemas.openxmlformats.org/spreadsheetml/2006/main">
  <authors>
    <author>Thunwa Boonserm</author>
    <author>Tanawan Wiriyadamrikul</author>
    <author>Tanawan &lt;June&gt; Wiriyadamrikul</author>
    <author>Nontapat Anantawiroon</author>
    <author>Waraporn Loynapa</author>
    <author>Naruporn Tangsuan</author>
    <author>Aonwika Aekkriangkrai</author>
    <author>tc={6B514930-536D-4947-BC20-DABE6C61A4B0}</author>
  </authors>
  <commentList>
    <comment ref="J3" authorId="0" shapeId="0">
      <text>
        <t>Thunwa Boonserm:
1 = delay
0 = not delay</t>
      </text>
    </comment>
    <comment ref="N3" authorId="0" shapeId="0">
      <text>
        <t>Thunwa Boonserm:
1 = Achieved within 5 shift
0 = not Achieved within 5 shift</t>
      </text>
    </comment>
    <comment ref="AC3" authorId="1" shapeId="0">
      <text>
        <t>สินค้าส่งออก ให้ยึดวันโหลดซึ่งเป็นวันที่เงินเข้า</t>
      </text>
    </comment>
    <comment ref="AG3" authorId="1" shapeId="0">
      <text>
        <t>ส่งออก นับจาก ใบขอรหัส ถึง pre tr</t>
      </text>
    </comment>
    <comment ref="AK3" authorId="1" shapeId="0">
      <text>
        <t>สินค้าในประเทศ ให้ยึดวันขาย</t>
      </text>
    </comment>
    <comment ref="AS3" authorId="0" shapeId="0">
      <text>
        <t>Thunwa Boonserm:
1 = CM เกิดจริงต่ำกว่าใบขอรหัส
0 = CM เกิดจริงมากกว่าใบขอรหัส</t>
      </text>
    </comment>
    <comment ref="BO3" authorId="2" shapeId="0">
      <text>
        <t>Tanawan &lt;June&gt; Wiriyadamrikul:
ผ่านการรับรองหรือผ่านหลักเกณฑ์ของ " ทางเลือกสุขภาพ" หรือ Thai Healthier Logo ที่ให้การรับรองโดยสถาบันโภชนาการ ม.มหิดล</t>
      </text>
    </comment>
    <comment ref="BP3" authorId="2" shapeId="0">
      <text>
        <t>Tanawan &lt;June&gt; Wiriyadamrikul:
อาหารที่มีการเพิ่ม หรือลด หรือปราศจากสารอาหารตามที่กฏหมายหรือมาตรฐานยอมรับ เช่นตามประกาศกระทรวงสาธารณสุข ฉบับที่ 445 พ.ศ.2566
 เช่น พลังงานต่ำ โปรตีนสูง ไขมันต่ำ มีวิตามิน ไม่ใส่ผงชูรส</t>
      </text>
    </comment>
    <comment ref="BQ3" authorId="2" shapeId="0">
      <text>
        <t>Tanawan &lt;June&gt; Wiriyadamrikul:
ผักและผลไม้สดหรืออาหารที่คงสภาพสารอาหารที่เป็นประโยชน์ทางธรรมชาติหรือผ่านการแปรรูปน้อยหรืออาหารที่รับประทานแล้วได้โภชนาการครบถ้วนและพลังงานที่เหมาะสมใน 1 มื้อ</t>
      </text>
    </comment>
    <comment ref="BR3" authorId="2" shapeId="0">
      <text>
        <t>Tanawan &lt;June&gt; Wiriyadamrikul:
อาหารทางการแพทย์, Functional Food หรือ Food Supplement ตามประกาศกระทรวงสาธารณสุข(ฉบับที่ 238) พ.ศ. 2544 และประกาศกระทรวงสาธารณสุข(ฉบับที่ 293) พ.ศ. 2548</t>
      </text>
    </comment>
    <comment ref="BP20" authorId="3" shapeId="0">
      <text>
        <t>Nontapat Anantawiroon:
- เป็นแหล่งของโปรตีน
- ไขมันอิ่มตัวต่ำ</t>
      </text>
    </comment>
    <comment ref="BP21" authorId="3" shapeId="0">
      <text>
        <t>Nontapat Anantawiroon:
- เป็นแหล่งของโปรตีน
- ไขมันอิ่มตัวต่ำ</t>
      </text>
    </comment>
    <comment ref="BP22" authorId="3" shapeId="0">
      <text>
        <t>Nontapat Anantawiroon:
- เป็นแหล่งของโปรตีน
- ไขมันอิ่มตัวต่ำ</t>
      </text>
    </comment>
    <comment ref="AK33" authorId="4" shapeId="0">
      <text>
        <t>Waraporn Loynapa:
แผนขายเดิม 30/10/2025 เลื่อนออกเป็นขายจริง 12/2/2026</t>
      </text>
    </comment>
    <comment ref="AH43" authorId="5" shapeId="0">
      <text>
        <t xml:space="preserve">Naruporn Tangsuan:
วันที่ 10/10/2026 mkt แจ้งทางลูกค้าขอเลื่อนแผนขาย จากเดิม PTR 20/10/2025 เลื่อนเป็นขอแผน PTR 13/12/2025 </t>
      </text>
    </comment>
    <comment ref="AH44" authorId="5" shapeId="0">
      <text>
        <t>Naruporn Tangsuan:
วันที่ 10/10/2026 mkt แจ้งทางลูกค้าขอเลื่อนแผนขาย จากเดิม PTR 20/10/2025 เลื่อนเป็นขอแผน PTR 13/12/2025</t>
      </text>
    </comment>
    <comment ref="AK45" authorId="4" shapeId="0">
      <text>
        <t>Waraporn Loynapa
แผนขายเดิม 21/10/2025
แผนขายใหม่ 26/2/2026</t>
      </text>
    </comment>
    <comment ref="AK62" authorId="6" shapeId="0">
      <text>
        <t>Aonwika Aekkriangkrai:
ขอนับตามแผนขายเดิม คือวันที่ 19/06/68 เนื่องจากติดปัญหาRM คังซุย 
***จำหน่ายจริง 16/03/69</t>
      </text>
    </comment>
    <comment ref="AK63" authorId="6" shapeId="0">
      <text>
        <t>Aonwika Aekkriangkrai:
ขอนับตามแผนขายเดิม คือวันที่ 3/11/68 เนื่องจากทางการตลาดแจ้งเป็นปัญหาที่ลูกค้าสร้างรหัสสินค้าภายในล่าช้า และไม่ได้เปิดPO สั่งซื้อตามที่ตกลงว่าจะจำหน่ายวันที่ 3/11/68 ซึ่งทางการตลาดมีการติดตามเป็นระยะๆแล้ว
***จำหน่ายจริง 30/03/69</t>
      </text>
    </comment>
    <comment ref="AL64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เลื่อนขาย ครั้งที่ 1 19/2/2026
เลื่อนขายครั้งที่ 2 5/3/2026</t>
      </text>
    </comment>
    <comment ref="AU76" authorId="6" shapeId="0">
      <text>
        <t>Aonwika Aekkriangkrai:
ใบขอหัส ยังใช้ราคาInbound เนื่องจากเปิดใบขอรหัส เดือน2</t>
      </text>
    </comment>
    <comment ref="AL77" authorId="5" shapeId="0">
      <text>
        <t>Naruporn Tangsuan:
ระหว่างวันที่ 1/1/2026 - 27/2/2026 ระบบลูกค้ามีปัญหา ทำให้ไม่สามารถสร้างรหัสสินค้าได้ และทางลูกค้ามีการปรับ process การตรวจ spec สินค้า ทำให้ต้องเลื่อนแผนขาย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72</col>
      <colOff>171450</colOff>
      <row>47</row>
      <rowOff>104775</rowOff>
    </from>
    <to>
      <col>81</col>
      <colOff>257175</colOff>
      <row>56</row>
      <rowOff>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8851225" y="8496300"/>
          <a:ext cx="2743200" cy="1524000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119062</colOff>
      <row>17</row>
      <rowOff>19050</rowOff>
    </from>
    <to>
      <col>6</col>
      <colOff>576262</colOff>
      <row>32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-158696025</colOff>
      <row>64</row>
      <rowOff>504825</rowOff>
    </from>
    <to>
      <col>0</col>
      <colOff>-158410275</colOff>
      <row>65</row>
      <rowOff>381000</rowOff>
    </to>
    <pic>
      <nvPicPr>
        <cNvPr id="47" name="Picture 46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-158696025" y="27041475"/>
          <a:ext cx="285750" cy="40957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-134883525</colOff>
      <row>8</row>
      <rowOff>171450</rowOff>
    </from>
    <to>
      <col>0</col>
      <colOff>-134540625</colOff>
      <row>9</row>
      <rowOff>114300</rowOff>
    </to>
    <pic>
      <nvPicPr>
        <cNvPr id="48" name="Picture 47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-134883525" y="3524250"/>
          <a:ext cx="342900" cy="476250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52387</colOff>
      <row>22</row>
      <rowOff>85725</rowOff>
    </from>
    <to>
      <col>6</col>
      <colOff>509587</colOff>
      <row>37</row>
      <rowOff>114300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Nontapat Anantawiroon" refreshedDate="46162.38297824074" createdVersion="6" refreshedVersion="6" minRefreshableVersion="3" recordCount="76" r:id="rId1">
  <cacheSource type="worksheet">
    <worksheetSource name="Table13"/>
  </cacheSource>
  <cacheFields count="83">
    <cacheField name="No." uniqueList="1" numFmtId="0" sqlType="0" hierarchy="0" level="0" databaseField="1">
      <sharedItems count="0" containsInteger="1" containsNumber="1" containsSemiMixedTypes="0" containsString="0" minValue="1" maxValue="76"/>
    </cacheField>
    <cacheField name="กลุ่มสินค้า" uniqueList="1" numFmtId="0" sqlType="0" hierarchy="0" level="0" databaseField="1">
      <sharedItems count="10">
        <s v="ข้าวเหนียว สเต็ก"/>
        <s v="เบอร์เกอร์ รองท้อง"/>
        <s v="สลัด ยำ น้ำจิ้ม"/>
        <s v="ติ่มซำ (นึ่ง)"/>
        <s v="กับข้าว"/>
        <s v="ข้าวปั้น เครื่องเคียง"/>
        <s v="ข้าวและกับข้าว"/>
        <s v="เส้น (ข้าวไทย)"/>
        <s v="เส้น (แป้งสาลี) ซุป "/>
        <s v="ติ่มซำ รองท้อง (ทอด)"/>
      </sharedItems>
    </cacheField>
    <cacheField name="ตลาด" uniqueList="1" numFmtId="0" sqlType="0" hierarchy="0" level="0" databaseField="1">
      <sharedItems count="10">
        <s v="PMA08"/>
        <s v="PMA16"/>
        <s v="PMA02"/>
        <s v="PMA24"/>
        <s v="PMA06"/>
        <s v="PMA19"/>
        <s v="Export"/>
        <s v="PMA20"/>
        <s v="PMA22"/>
        <s v="non-7"/>
      </sharedItems>
    </cacheField>
    <cacheField name="ไตรมาส" uniqueList="1" numFmtId="0" sqlType="0" hierarchy="0" level="0" databaseField="1">
      <sharedItems count="0"/>
    </cacheField>
    <cacheField name="เดือน" uniqueList="1" numFmtId="0" sqlType="0" hierarchy="0" level="0" databaseField="1">
      <sharedItems count="4">
        <s v="Jan"/>
        <s v="Feb"/>
        <s v="Mar"/>
        <s v="Apr"/>
      </sharedItems>
    </cacheField>
    <cacheField name="รหัสสินค้า" uniqueList="1" numFmtId="0" sqlType="0" hierarchy="0" level="0" databaseField="1">
      <sharedItems count="0" containsInteger="1" containsMixedTypes="1" containsNumber="1" minValue="90101429" maxValue="90140511"/>
    </cacheField>
    <cacheField name="ชื่อสินค้า" uniqueList="1" numFmtId="0" sqlType="0" hierarchy="0" level="0" databaseField="1">
      <sharedItems count="0"/>
    </cacheField>
    <cacheField name="จำนวนครั้งใน_x000a_การขยายแบท" uniqueList="1" numFmtId="0" sqlType="0" hierarchy="0" level="0" databaseField="1">
      <sharedItems count="0" containsBlank="1" containsInteger="1" containsNumber="1" containsString="0" minValue="0" maxValue="8"/>
    </cacheField>
    <cacheField name="Plant ที่ผลิต" uniqueList="1" numFmtId="0" sqlType="0" hierarchy="0" level="0" databaseField="1">
      <sharedItems count="0" containsInteger="1" containsMixedTypes="1" containsNumber="1" minValue="1" maxValue="4"/>
    </cacheField>
    <cacheField name="No. of New Product Delay Plan" uniqueList="1" numFmtId="0" sqlType="0" hierarchy="0" level="0" databaseField="1">
      <sharedItems count="0" containsInteger="1" containsNumber="1" containsSemiMixedTypes="0" containsString="0" minValue="0" maxValue="1"/>
    </cacheField>
    <cacheField name="กรณีสินค้านั้นมีการเลื่อนแผนขาย ให้ระบุว่าเลื่อนมาจากเดือนใด และสาเหตุใด" uniqueList="1" numFmtId="0" sqlType="0" hierarchy="0" level="0" databaseField="1">
      <sharedItems count="0" containsBlank="1"/>
    </cacheField>
    <cacheField name="%αβ" uniqueList="1" numFmtId="0" sqlType="0" hierarchy="0" level="0" databaseField="1">
      <sharedItems count="0" containsNumber="1" containsSemiMixedTypes="0" containsString="0" minValue="83.33" maxValue="100"/>
    </cacheField>
    <cacheField name="%Defect_x000a_(Test Run_x000a_5 กะ)" uniqueList="1" numFmtId="0" sqlType="0" hierarchy="0" level="0" databaseField="1">
      <sharedItems count="0" containsBlank="1" containsNumber="1" containsString="0" minValue="0" maxValue="1.33"/>
    </cacheField>
    <cacheField name="ภายใน 5 กะ  Defect ได้ตาม STD หรือไม่" uniqueList="1" numFmtId="0" sqlType="0" hierarchy="0" level="0" databaseField="1">
      <sharedItems count="0" containsInteger="1" containsNumber="1" containsSemiMixedTypes="0" containsString="0" minValue="1" maxValue="1"/>
    </cacheField>
    <cacheField name="ผ่าน" uniqueList="1" numFmtId="0" sqlType="0" hierarchy="0" level="0" databaseField="1">
      <sharedItems count="0" containsBlank="1" containsInteger="1" containsNumber="1" containsString="0" minValue="0" maxValue="1"/>
    </cacheField>
    <cacheField name="ผ่านแบบมีเงื่อนไข" uniqueList="1" numFmtId="0" sqlType="0" hierarchy="0" level="0" databaseField="1">
      <sharedItems count="0" containsBlank="1" containsInteger="1" containsNumber="1" containsString="0" minValue="0" maxValue="1"/>
    </cacheField>
    <cacheField name="ไม่ผ่าน" uniqueList="1" numFmtId="0" sqlType="0" hierarchy="0" level="0" databaseField="1">
      <sharedItems count="0" containsBlank="1" containsInteger="1" containsNumber="1" containsString="0" minValue="0" maxValue="1"/>
    </cacheField>
    <cacheField name="เหตุผลหลัก" uniqueList="1" numFmtId="0" sqlType="0" hierarchy="0" level="0" databaseField="1">
      <sharedItems count="0" containsBlank="1"/>
    </cacheField>
    <cacheField name="ประเภทของปัญหา" uniqueList="1" numFmtId="0" sqlType="0" hierarchy="0" level="0" databaseField="1">
      <sharedItems count="0" containsBlank="1" containsNonDate="0" containsString="0"/>
    </cacheField>
    <cacheField name="อื่นๆ" uniqueList="1" numFmtId="0" sqlType="0" hierarchy="0" level="0" databaseField="1">
      <sharedItems count="0" containsBlank="1"/>
    </cacheField>
    <cacheField name="ผ่าน2" uniqueList="1" numFmtId="0" sqlType="0" hierarchy="0" level="0" databaseField="1">
      <sharedItems count="0" containsBlank="1" containsInteger="1" containsNumber="1" containsString="0" minValue="0" maxValue="1"/>
    </cacheField>
    <cacheField name="ผ่านแบบมีเงื่อนไข2" uniqueList="1" numFmtId="0" sqlType="0" hierarchy="0" level="0" databaseField="1">
      <sharedItems count="0" containsBlank="1" containsInteger="1" containsNumber="1" containsString="0" minValue="0" maxValue="1"/>
    </cacheField>
    <cacheField name="ไม่ผ่าน4" uniqueList="1" numFmtId="0" sqlType="0" hierarchy="0" level="0" databaseField="1">
      <sharedItems count="0" containsBlank="1" containsInteger="1" containsNumber="1" containsString="0" minValue="0" maxValue="1"/>
    </cacheField>
    <cacheField name="เหตุผลหลัก2" uniqueList="1" numFmtId="0" sqlType="0" hierarchy="0" level="0" databaseField="1">
      <sharedItems count="0" containsBlank="1"/>
    </cacheField>
    <cacheField name="ประเภทของปัญหา2" uniqueList="1" numFmtId="0" sqlType="0" hierarchy="0" level="0" databaseField="1">
      <sharedItems count="0" containsBlank="1"/>
    </cacheField>
    <cacheField name="อื่นๆ6" uniqueList="1" numFmtId="0" sqlType="0" hierarchy="0" level="0" databaseField="1">
      <sharedItems count="0" containsBlank="1"/>
    </cacheField>
    <cacheField name="การแก้ไข" uniqueList="1" numFmtId="0" sqlType="0" hierarchy="0" level="0" databaseField="1">
      <sharedItems count="0" containsBlank="1"/>
    </cacheField>
    <cacheField name="รายละเอียดการแก้ไข" uniqueList="1" numFmtId="0" sqlType="0" hierarchy="0" level="0" databaseField="1">
      <sharedItems count="0" containsBlank="1" containsNonDate="0" containsString="0"/>
    </cacheField>
    <cacheField name="Launch Date" uniqueList="1" numFmtId="14" sqlType="0" hierarchy="0" level="0" databaseField="1">
      <sharedItems count="0" containsBlank="1" containsDate="1" containsNonDate="0" containsString="0" minDate="2026-01-13T00:00:00" maxDate="2026-04-02T00:00:00"/>
    </cacheField>
    <cacheField name="วันที่การตลาด_x000a_อนุมัติใบขอรหัส" uniqueList="1" numFmtId="0" sqlType="0" hierarchy="0" level="0" databaseField="1">
      <sharedItems count="0" containsBlank="1" containsDate="1" containsNonDate="0" containsString="0" minDate="2025-10-03T00:00:00" maxDate="2026-01-31T00:00:00"/>
    </cacheField>
    <cacheField name="วันที่ใบขอรหัสจบ (ส่งออก)" uniqueList="1" numFmtId="0" sqlType="0" hierarchy="0" level="0" databaseField="1">
      <sharedItems count="0" containsBlank="1" containsDate="1" containsNonDate="0" containsString="0" minDate="2025-10-06T00:00:00" maxDate="2026-02-14T00:00:00"/>
    </cacheField>
    <cacheField name="วัน Pre-test _x000a_run" uniqueList="1" numFmtId="0" sqlType="0" hierarchy="0" level="0" databaseField="1">
      <sharedItems count="0" containsBlank="1" containsDate="1" containsNonDate="0" containsString="0" minDate="2025-12-17T00:00:00" maxDate="2026-03-24T00:00:00"/>
    </cacheField>
    <cacheField name="Lead _x000a_time (วัน)" uniqueList="1" numFmtId="0" sqlType="0" hierarchy="0" level="0" databaseField="1">
      <sharedItems count="0" containsInteger="1" containsNumber="1" containsSemiMixedTypes="0" containsString="0" minValue="0" maxValue="96"/>
    </cacheField>
    <cacheField name="จำนวนวัน_x000a_ที่รอ artwork (วัน)" uniqueList="1" numFmtId="0" sqlType="0" hierarchy="0" level="0" databaseField="1">
      <sharedItems count="0" containsBlank="1" containsInteger="1" containsNumber="1" containsString="0" minValue="54" maxValue="54"/>
    </cacheField>
    <cacheField name="สรุป _x000a_leadtime" uniqueList="1" numFmtId="0" sqlType="0" hierarchy="0" level="0" databaseField="1">
      <sharedItems count="0" containsInteger="1" containsNumber="1" containsSemiMixedTypes="0" containsString="0" minValue="0" maxValue="52"/>
    </cacheField>
    <cacheField name="วันที่การตลาดอนุมัติ_x000a_ใบขอรหัส." uniqueList="1" numFmtId="0" sqlType="0" hierarchy="0" level="0" databaseField="1">
      <sharedItems count="0" containsBlank="1" containsDate="1" containsNonDate="0" containsString="0" minDate="2025-02-18T00:00:00" maxDate="2026-03-15T00:00:00"/>
    </cacheField>
    <cacheField name="Launch _x000a_Date." uniqueList="1" numFmtId="14" sqlType="0" hierarchy="0" level="0" databaseField="1">
      <sharedItems count="0" containsBlank="1" containsDate="1" containsNonDate="0" containsString="0" minDate="2025-06-19T00:00:00" maxDate="2026-05-01T00:00:00"/>
    </cacheField>
    <cacheField name="Lead _x000a_time (วัน). (เก่า)" uniqueList="1" numFmtId="0" sqlType="0" hierarchy="0" level="0" databaseField="1">
      <sharedItems count="0" containsBlank="1" containsInteger="1" containsNumber="1" containsString="0" minValue="0" maxValue="121"/>
    </cacheField>
    <cacheField name="วันที่ใบขอรหัสจบ(ภายใน)" uniqueList="1" numFmtId="0" sqlType="0" hierarchy="0" level="0" databaseField="1">
      <sharedItems count="0" containsBlank="1" containsDate="1" containsNonDate="0" containsString="0" minDate="2025-01-05T00:00:00" maxDate="2026-03-20T00:00:00"/>
    </cacheField>
    <cacheField name="Lead _x000a_time (วัน). (ใหม่)" uniqueList="1" numFmtId="0" sqlType="0" hierarchy="0" level="0" databaseField="1">
      <sharedItems count="0" containsBlank="1" containsInteger="1" containsNumber="1" containsString="0" minValue="0" maxValue="381"/>
    </cacheField>
    <cacheField name="New" uniqueList="1" numFmtId="0" sqlType="0" hierarchy="0" level="0" databaseField="1">
      <sharedItems count="0" containsBlank="1" containsInteger="1" containsNumber="1" containsString="0" minValue="1" maxValue="1"/>
    </cacheField>
    <cacheField name="Level_x000a_Up" uniqueList="1" numFmtId="0" sqlType="0" hierarchy="0" level="0" databaseField="1">
      <sharedItems count="0" containsBlank="1" containsInteger="1" containsNumber="1" containsString="0" minValue="1" maxValue="1"/>
    </cacheField>
    <cacheField name="Total" uniqueList="1" numFmtId="0" sqlType="0" hierarchy="0" level="0" databaseField="1">
      <sharedItems count="0" containsInteger="1" containsNumber="1" containsSemiMixedTypes="0" containsString="0" minValue="1" maxValue="1"/>
    </cacheField>
    <cacheField name="ลักษณะ_x000a_การขาย" uniqueList="1" numFmtId="0" sqlType="0" hierarchy="0" level="0" databaseField="1">
      <sharedItems count="0" containsBlank="1"/>
    </cacheField>
    <cacheField name="No. of New Product over Target Cost" uniqueList="1" numFmtId="0" sqlType="0" hierarchy="0" level="0" databaseField="1">
      <sharedItems count="0" containsBlank="1" containsInteger="1" containsNumber="1" containsString="0" minValue="0" maxValue="1"/>
    </cacheField>
    <cacheField name="สาเหตที่ CM เกิดจริงน้อยกว่า CM ใบขอรหัส" uniqueList="1" numFmtId="0" sqlType="0" hierarchy="0" level="0" databaseField="1">
      <sharedItems count="0" containsBlank="1"/>
    </cacheField>
    <cacheField name="%CM_x000a_ใบขอรหัส" uniqueList="1" numFmtId="0" sqlType="0" hierarchy="0" level="0" databaseField="1">
      <sharedItems count="0" containsNumber="1" containsSemiMixedTypes="0" containsString="0" minValue="14.3" maxValue="57.69"/>
    </cacheField>
    <cacheField name="%CM _x000a_เกิดจริง_x000a_ Jan" uniqueList="1" numFmtId="2" sqlType="0" hierarchy="0" level="0" databaseField="1">
      <sharedItems count="0" containsBlank="1" containsNumber="1" containsString="0" minValue="16.71" maxValue="52.79"/>
    </cacheField>
    <cacheField name="%CM _x000a_เกิดจริง_x000a_ Feb" uniqueList="1" numFmtId="188" sqlType="0" hierarchy="0" level="0" databaseField="1">
      <sharedItems count="0" containsBlank="1" containsNumber="1" containsString="0" minValue="-9.33" maxValue="64.56999999999999"/>
    </cacheField>
    <cacheField name="%CM _x000a_เกิดจริง_x000a_ Mar" uniqueList="1" numFmtId="188" sqlType="0" hierarchy="0" level="0" databaseField="1">
      <sharedItems count="0" containsBlank="1" containsNumber="1" containsString="0" minValue="-3.79" maxValue="64.84999999999999"/>
    </cacheField>
    <cacheField name="%CM _x000a_เกิดจริง_x000a_ Apr" uniqueList="1" numFmtId="2" sqlType="0" hierarchy="0" level="0" databaseField="1">
      <sharedItems count="0" containsBlank="1" containsNumber="1" containsString="0" minValue="-4.54" maxValue="62.95"/>
    </cacheField>
    <cacheField name="%CM _x000a_เกิดจริง_x000a_ May" uniqueList="1" numFmtId="2" sqlType="0" hierarchy="0" level="0" databaseField="1">
      <sharedItems count="0" containsBlank="1" containsNonDate="0" containsString="0"/>
    </cacheField>
    <cacheField name="%CM _x000a_เกิดจริง_x000a_ Jun" uniqueList="1" numFmtId="2" sqlType="0" hierarchy="0" level="0" databaseField="1">
      <sharedItems count="0" containsBlank="1" containsNonDate="0" containsString="0"/>
    </cacheField>
    <cacheField name="%CM _x000a_เกิดจริง_x000a_ Jul" uniqueList="1" numFmtId="189" sqlType="0" hierarchy="0" level="0" databaseField="1">
      <sharedItems count="0" containsBlank="1" containsNonDate="0" containsString="0"/>
    </cacheField>
    <cacheField name="%CM _x000a_เกิดจริง_x000a_ Aug" uniqueList="1" numFmtId="2" sqlType="0" hierarchy="0" level="0" databaseField="1">
      <sharedItems count="0" containsBlank="1" containsNonDate="0" containsString="0"/>
    </cacheField>
    <cacheField name="%CM _x000a_เกิดจริง_x000a_ Sep" uniqueList="1" numFmtId="2" sqlType="0" hierarchy="0" level="0" databaseField="1">
      <sharedItems count="0" containsBlank="1" containsNonDate="0" containsString="0"/>
    </cacheField>
    <cacheField name="%CM _x000a_เกิดจริง_x000a_ Oct" uniqueList="1" numFmtId="2" sqlType="0" hierarchy="0" level="0" databaseField="1">
      <sharedItems count="0" containsBlank="1" containsNonDate="0" containsString="0"/>
    </cacheField>
    <cacheField name="%CM _x000a_เกิดจริง_x000a_ Nov" uniqueList="1" numFmtId="0" sqlType="0" hierarchy="0" level="0" databaseField="1">
      <sharedItems count="0" containsBlank="1" containsNonDate="0" containsString="0"/>
    </cacheField>
    <cacheField name="%CM _x000a_เกิดจริง_x000a_ Dec" uniqueList="1" numFmtId="0" sqlType="0" hierarchy="0" level="0" databaseField="1">
      <sharedItems count="0" containsBlank="1" containsNonDate="0" containsString="0"/>
    </cacheField>
    <cacheField name="%CM _x000a_เกิดจริงเฉลี่ย" uniqueList="1" numFmtId="2" sqlType="0" hierarchy="0" level="0" databaseField="1">
      <sharedItems count="0" containsNumber="1" containsSemiMixedTypes="0" containsString="0" minValue="-5.886666666666667" maxValue="62"/>
    </cacheField>
    <cacheField name="%CM ต่างจากใบขอรหัส" uniqueList="1" numFmtId="2" sqlType="0" hierarchy="0" level="0" databaseField="1">
      <sharedItems count="0" containsNumber="1" containsSemiMixedTypes="0" containsString="0" minValue="-33.7" maxValue="25.25"/>
    </cacheField>
    <cacheField name="Creator" uniqueList="1" numFmtId="0" sqlType="0" hierarchy="0" level="0" databaseField="1">
      <sharedItems count="0" containsBlank="1" containsNonDate="0" containsString="0"/>
    </cacheField>
    <cacheField name="VG for Love" uniqueList="1" numFmtId="0" sqlType="0" hierarchy="0" level="0" databaseField="1">
      <sharedItems count="0" containsBlank="1" containsNonDate="0" containsString="0"/>
    </cacheField>
    <cacheField name="ค่าโซเดียม/serve" uniqueList="1" numFmtId="0" sqlType="0" hierarchy="0" level="0" databaseField="1">
      <sharedItems count="0" containsInteger="1" containsMixedTypes="1" containsNumber="1" minValue="350" maxValue="1620"/>
    </cacheField>
    <cacheField name="ค่าโซเดียมไม่เกิน 1000 mg/serve" uniqueList="1" numFmtId="0" sqlType="0" hierarchy="0" level="0" databaseField="1">
      <sharedItems count="0" containsBlank="1" containsInteger="1" containsNumber="1" containsString="0" minValue="1" maxValue="1"/>
    </cacheField>
    <cacheField name="ทางเลือกสุขภาพ" uniqueList="1" numFmtId="0" sqlType="0" hierarchy="0" level="0" databaseField="1">
      <sharedItems count="0" containsBlank="1" containsNonDate="0" containsString="0"/>
    </cacheField>
    <cacheField name="อาหารที่มีการ_x000a_เพิ่มหรือลด" uniqueList="1" numFmtId="0" sqlType="0" hierarchy="0" level="0" databaseField="1">
      <sharedItems count="0" containsBlank="1" containsInteger="1" containsNumber="1" containsString="0" minValue="1" maxValue="1"/>
    </cacheField>
    <cacheField name="ผักและผลไม้" uniqueList="1" numFmtId="0" sqlType="0" hierarchy="0" level="0" databaseField="1">
      <sharedItems count="0" containsBlank="1" containsInteger="1" containsNumber="1" containsString="0" minValue="1" maxValue="1"/>
    </cacheField>
    <cacheField name="อาหารทางการแพทย์" uniqueList="1" numFmtId="0" sqlType="0" hierarchy="0" level="0" databaseField="1">
      <sharedItems count="0" containsBlank="1" containsNonDate="0" containsString="0"/>
    </cacheField>
    <cacheField name="ไม่เข้าข่าย _x000a_Health" uniqueList="1" numFmtId="0" sqlType="0" hierarchy="0" level="0" databaseField="1">
      <sharedItems count="0" containsBlank="1" containsInteger="1" containsNumber="1" containsString="0" minValue="1" maxValue="1"/>
    </cacheField>
    <cacheField name="JAN" uniqueList="1" numFmtId="0" sqlType="0" hierarchy="0" level="0" databaseField="1">
      <sharedItems count="0" containsInteger="1" containsNumber="1" containsSemiMixedTypes="0" containsString="0" minValue="0" maxValue="15037920"/>
    </cacheField>
    <cacheField name="FEB" uniqueList="1" numFmtId="0" sqlType="0" hierarchy="0" level="0" databaseField="1">
      <sharedItems count="0" containsInteger="1" containsNumber="1" containsSemiMixedTypes="0" containsString="0" minValue="-237" maxValue="13641147"/>
    </cacheField>
    <cacheField name="MAR" uniqueList="1" numFmtId="0" sqlType="0" hierarchy="0" level="0" databaseField="1">
      <sharedItems count="0" containsInteger="1" containsNumber="1" containsSemiMixedTypes="0" containsString="0" minValue="-23" maxValue="37190709"/>
    </cacheField>
    <cacheField name="APR" uniqueList="1" numFmtId="0" sqlType="0" hierarchy="0" level="0" databaseField="1">
      <sharedItems count="0" containsInteger="1" containsNumber="1" containsSemiMixedTypes="0" containsString="0" minValue="0" maxValue="43371499"/>
    </cacheField>
    <cacheField name="MAY" uniqueList="1" numFmtId="3" sqlType="0" hierarchy="0" level="0" databaseField="1">
      <sharedItems count="0" containsBlank="1" containsNonDate="0" containsString="0"/>
    </cacheField>
    <cacheField name="JUN" uniqueList="1" numFmtId="3" sqlType="0" hierarchy="0" level="0" databaseField="1">
      <sharedItems count="0" containsBlank="1" containsNonDate="0" containsString="0"/>
    </cacheField>
    <cacheField name="JUL" uniqueList="1" numFmtId="3" sqlType="0" hierarchy="0" level="0" databaseField="1">
      <sharedItems count="0" containsBlank="1" containsNonDate="0" containsString="0"/>
    </cacheField>
    <cacheField name="Aug" uniqueList="1" numFmtId="3" sqlType="0" hierarchy="0" level="0" databaseField="1">
      <sharedItems count="0" containsBlank="1" containsNonDate="0" containsString="0"/>
    </cacheField>
    <cacheField name="Sep" uniqueList="1" numFmtId="3" sqlType="0" hierarchy="0" level="0" databaseField="1">
      <sharedItems count="0" containsBlank="1" containsNonDate="0" containsString="0"/>
    </cacheField>
    <cacheField name="Oct" uniqueList="1" numFmtId="3" sqlType="0" hierarchy="0" level="0" databaseField="1">
      <sharedItems count="0" containsBlank="1" containsNonDate="0" containsString="0"/>
    </cacheField>
    <cacheField name="Nov" uniqueList="1" numFmtId="3" sqlType="0" hierarchy="0" level="0" databaseField="1">
      <sharedItems count="0" containsBlank="1" containsNonDate="0" containsString="0"/>
    </cacheField>
    <cacheField name="Dec" uniqueList="1" numFmtId="0" sqlType="0" hierarchy="0" level="0" databaseField="1">
      <sharedItems count="0" containsBlank="1" containsNonDate="0" containsString="0"/>
    </cacheField>
    <cacheField name="Grand Total" uniqueList="1" numFmtId="43" sqlType="0" hierarchy="0" level="0" databaseField="1">
      <sharedItems count="0" containsInteger="1" containsNumber="1" containsSemiMixedTypes="0" containsString="0" minValue="0" maxValue="90847925"/>
    </cacheField>
  </cacheFields>
</pivotCacheDefinition>
</file>

<file path=xl/pivotCache/pivotCacheRecords1.xml><?xml version="1.0" encoding="utf-8"?>
<pivotCacheRecords xmlns="http://schemas.openxmlformats.org/spreadsheetml/2006/main" count="76">
  <r>
    <n v="1"/>
    <x v="0"/>
    <x v="0"/>
    <s v="Q1"/>
    <x v="0"/>
    <s v="90113352"/>
    <s v="BGข.น.เนื้อลาบแซ่บEZYGO137gIMP267-11"/>
    <n v="2"/>
    <n v="4"/>
    <n v="0"/>
    <m/>
    <n v="100"/>
    <n v="0"/>
    <n v="1"/>
    <n v="1"/>
    <n v="0"/>
    <n v="0"/>
    <m/>
    <m/>
    <m/>
    <n v="1"/>
    <n v="0"/>
    <n v="0"/>
    <m/>
    <m/>
    <m/>
    <m/>
    <m/>
    <m/>
    <m/>
    <m/>
    <m/>
    <n v="0"/>
    <m/>
    <n v="0"/>
    <d v="2025-12-08T00:00:00"/>
    <d v="2026-01-08T00:00:00"/>
    <n v="31"/>
    <d v="2025-12-11T00:00:00"/>
    <n v="28"/>
    <m/>
    <n v="1"/>
    <n v="1"/>
    <s v="All Store"/>
    <n v="0"/>
    <m/>
    <n v="30.33"/>
    <n v="29.29"/>
    <n v="30.56"/>
    <n v="26.52"/>
    <n v="31.73"/>
    <m/>
    <m/>
    <m/>
    <m/>
    <m/>
    <m/>
    <m/>
    <m/>
    <n v="29.525"/>
    <n v="-0.8049999999999997"/>
    <m/>
    <m/>
    <n v="690"/>
    <n v="1"/>
    <m/>
    <m/>
    <m/>
    <m/>
    <n v="1"/>
    <n v="4022504"/>
    <n v="2879629"/>
    <n v="1896352"/>
    <n v="1064995"/>
    <m/>
    <m/>
    <m/>
    <m/>
    <m/>
    <m/>
    <m/>
    <m/>
    <n v="9863480"/>
  </r>
  <r>
    <n v="2"/>
    <x v="1"/>
    <x v="0"/>
    <s v="Q1"/>
    <x v="0"/>
    <s v="90113351"/>
    <s v="ชีสซี่เบอร์เกอร์ไก่ทอดEZYGO142gIMP2026"/>
    <n v="3"/>
    <n v="1"/>
    <n v="0"/>
    <m/>
    <n v="89.40000000000001"/>
    <n v="0"/>
    <n v="1"/>
    <n v="1"/>
    <n v="0"/>
    <n v="0"/>
    <m/>
    <m/>
    <m/>
    <n v="1"/>
    <n v="0"/>
    <n v="0"/>
    <m/>
    <m/>
    <m/>
    <m/>
    <m/>
    <m/>
    <m/>
    <m/>
    <m/>
    <n v="0"/>
    <m/>
    <n v="0"/>
    <d v="2025-12-04T00:00:00"/>
    <d v="2026-01-15T00:00:00"/>
    <n v="42"/>
    <d v="2025-12-11T00:00:00"/>
    <n v="35"/>
    <m/>
    <n v="1"/>
    <n v="1"/>
    <s v="All Store"/>
    <n v="0"/>
    <m/>
    <n v="21.6"/>
    <n v="25.31"/>
    <n v="25.59"/>
    <n v="24.53"/>
    <n v="24.72"/>
    <m/>
    <m/>
    <m/>
    <m/>
    <m/>
    <m/>
    <m/>
    <m/>
    <n v="25.0375"/>
    <n v="3.4375"/>
    <m/>
    <m/>
    <n v="1000"/>
    <n v="1"/>
    <m/>
    <m/>
    <m/>
    <m/>
    <n v="1"/>
    <n v="5503870"/>
    <n v="4687381"/>
    <n v="3878403"/>
    <n v="3344298"/>
    <m/>
    <m/>
    <m/>
    <m/>
    <m/>
    <m/>
    <m/>
    <m/>
    <n v="17413952"/>
  </r>
  <r>
    <n v="3"/>
    <x v="1"/>
    <x v="0"/>
    <s v="Q1"/>
    <x v="0"/>
    <s v="90113348"/>
    <s v="เบอร์เกอร์ไก่EZYGO101g, 7-11 phase 2"/>
    <n v="1"/>
    <s v="1,2"/>
    <n v="0"/>
    <m/>
    <n v="100"/>
    <n v="0.12"/>
    <n v="1"/>
    <n v="1"/>
    <n v="0"/>
    <n v="0"/>
    <m/>
    <m/>
    <m/>
    <n v="1"/>
    <n v="0"/>
    <n v="0"/>
    <m/>
    <m/>
    <m/>
    <m/>
    <m/>
    <m/>
    <m/>
    <m/>
    <m/>
    <n v="0"/>
    <m/>
    <n v="0"/>
    <d v="2025-11-14T00:00:00"/>
    <d v="2026-01-08T00:00:00"/>
    <n v="55"/>
    <d v="2025-11-27T00:00:00"/>
    <n v="42"/>
    <m/>
    <n v="1"/>
    <n v="1"/>
    <s v="All Store"/>
    <n v="0"/>
    <m/>
    <n v="27.83"/>
    <n v="34.95"/>
    <n v="36.56"/>
    <n v="37.29"/>
    <n v="36.32"/>
    <m/>
    <m/>
    <m/>
    <m/>
    <m/>
    <m/>
    <m/>
    <m/>
    <n v="36.28"/>
    <n v="8.450000000000003"/>
    <m/>
    <m/>
    <n v="690"/>
    <n v="1"/>
    <m/>
    <m/>
    <m/>
    <m/>
    <n v="1"/>
    <n v="2760860"/>
    <n v="1461202"/>
    <n v="1492843"/>
    <n v="975489"/>
    <m/>
    <m/>
    <m/>
    <m/>
    <m/>
    <m/>
    <m/>
    <m/>
    <n v="6690394"/>
  </r>
  <r>
    <n v="4"/>
    <x v="2"/>
    <x v="1"/>
    <s v="Q1"/>
    <x v="0"/>
    <n v="90138875"/>
    <s v="สลัดปูอัดเเละเซเลอรี พร้อมน้ำสลัดซาวเออร์ เมโย่ ตราอีซี่เฟรช 210 กรัม บายซิซซ์เล่อร์ "/>
    <n v="2"/>
    <s v="ALL"/>
    <n v="0"/>
    <m/>
    <n v="94"/>
    <n v="0"/>
    <n v="1"/>
    <n v="0"/>
    <n v="1"/>
    <n v="0"/>
    <s v="กระบวนการไม่ผ่าน (ผลิต)"/>
    <m/>
    <s v="ใบมีดเครื่องจักรไม่คม"/>
    <m/>
    <m/>
    <m/>
    <m/>
    <m/>
    <m/>
    <m/>
    <m/>
    <m/>
    <m/>
    <m/>
    <m/>
    <n v="0"/>
    <m/>
    <n v="0"/>
    <d v="2025-11-05T00:00:00"/>
    <d v="2026-01-08T00:00:00"/>
    <n v="64"/>
    <d v="2025-11-14T00:00:00"/>
    <n v="55"/>
    <n v="1"/>
    <m/>
    <n v="1"/>
    <s v="All Store"/>
    <n v="0"/>
    <s v="RM. LB cost _x000a_สูงกว่าขอรหัส"/>
    <n v="16.49"/>
    <n v="18.38"/>
    <n v="16.06"/>
    <n v="16.57"/>
    <n v="13.86"/>
    <m/>
    <m/>
    <m/>
    <m/>
    <m/>
    <m/>
    <m/>
    <m/>
    <n v="16.2175"/>
    <n v="-0.2724999999999973"/>
    <m/>
    <m/>
    <n v="770"/>
    <n v="1"/>
    <m/>
    <m/>
    <n v="1"/>
    <m/>
    <m/>
    <n v="15037920"/>
    <n v="9982080"/>
    <n v="6558520"/>
    <n v="3778886"/>
    <m/>
    <m/>
    <m/>
    <m/>
    <m/>
    <m/>
    <m/>
    <m/>
    <n v="35357406"/>
  </r>
  <r>
    <n v="5"/>
    <x v="0"/>
    <x v="0"/>
    <s v="Q1"/>
    <x v="0"/>
    <s v="90113350"/>
    <s v="BGข.น.ไก่ย่างEZYGO136gLV2026,7-11"/>
    <n v="2"/>
    <n v="4"/>
    <n v="0"/>
    <m/>
    <n v="100"/>
    <n v="0.11"/>
    <n v="1"/>
    <n v="1"/>
    <n v="0"/>
    <n v="0"/>
    <m/>
    <m/>
    <m/>
    <n v="1"/>
    <n v="0"/>
    <n v="0"/>
    <m/>
    <m/>
    <m/>
    <m/>
    <m/>
    <m/>
    <m/>
    <m/>
    <m/>
    <n v="0"/>
    <m/>
    <n v="0"/>
    <d v="2025-12-06T00:00:00"/>
    <d v="2026-01-08T00:00:00"/>
    <n v="33"/>
    <d v="2025-12-12T00:00:00"/>
    <n v="27"/>
    <n v="1"/>
    <m/>
    <n v="1"/>
    <s v="All Store"/>
    <n v="0"/>
    <m/>
    <n v="30.03"/>
    <n v="42.91"/>
    <n v="40.71"/>
    <n v="47.79"/>
    <n v="35.34"/>
    <m/>
    <m/>
    <m/>
    <m/>
    <m/>
    <m/>
    <m/>
    <m/>
    <n v="41.6875"/>
    <n v="11.6575"/>
    <m/>
    <m/>
    <n v="420"/>
    <n v="1"/>
    <m/>
    <m/>
    <m/>
    <m/>
    <n v="1"/>
    <n v="2077608"/>
    <n v="1670208"/>
    <n v="723725"/>
    <n v="482878"/>
    <m/>
    <m/>
    <m/>
    <m/>
    <m/>
    <m/>
    <m/>
    <m/>
    <n v="4954419"/>
  </r>
  <r>
    <n v="6"/>
    <x v="1"/>
    <x v="0"/>
    <s v="Q1"/>
    <x v="0"/>
    <s v="90113356"/>
    <s v="เบอร์เกอร์ไก่ย่างและชีสEZYGO105g,7-11"/>
    <n v="3"/>
    <n v="1"/>
    <n v="0"/>
    <m/>
    <n v="100"/>
    <n v="0"/>
    <n v="1"/>
    <n v="1"/>
    <n v="0"/>
    <n v="0"/>
    <m/>
    <m/>
    <m/>
    <n v="1"/>
    <n v="0"/>
    <n v="0"/>
    <m/>
    <m/>
    <m/>
    <m/>
    <m/>
    <m/>
    <m/>
    <m/>
    <m/>
    <n v="0"/>
    <m/>
    <n v="0"/>
    <d v="2025-12-21T00:00:00"/>
    <d v="2026-01-22T00:00:00"/>
    <n v="32"/>
    <d v="2026-01-06T00:00:00"/>
    <n v="16"/>
    <n v="1"/>
    <m/>
    <n v="1"/>
    <s v="All Store"/>
    <n v="0"/>
    <m/>
    <n v="25.85"/>
    <n v="34.32"/>
    <n v="29.03"/>
    <n v="30.93"/>
    <m/>
    <m/>
    <m/>
    <m/>
    <m/>
    <m/>
    <m/>
    <m/>
    <m/>
    <n v="31.42666666666667"/>
    <n v="5.576666666666664"/>
    <m/>
    <m/>
    <n v="760"/>
    <n v="1"/>
    <m/>
    <m/>
    <m/>
    <m/>
    <n v="1"/>
    <n v="1817667"/>
    <n v="2117417"/>
    <n v="763756"/>
    <n v="0"/>
    <m/>
    <m/>
    <m/>
    <m/>
    <m/>
    <m/>
    <m/>
    <m/>
    <n v="4698840"/>
  </r>
  <r>
    <n v="7"/>
    <x v="1"/>
    <x v="0"/>
    <s v="Q1"/>
    <x v="0"/>
    <s v="90113349"/>
    <s v="เบอร์เกอร์กุ้งชีส(ผสมไก่)EZYGO102g,7-11"/>
    <n v="1"/>
    <s v="1,2"/>
    <n v="0"/>
    <m/>
    <n v="100"/>
    <n v="0"/>
    <n v="1"/>
    <n v="1"/>
    <n v="0"/>
    <n v="0"/>
    <m/>
    <m/>
    <m/>
    <n v="1"/>
    <n v="0"/>
    <n v="0"/>
    <m/>
    <m/>
    <m/>
    <m/>
    <m/>
    <m/>
    <m/>
    <m/>
    <m/>
    <n v="0"/>
    <m/>
    <n v="0"/>
    <d v="2025-11-21T00:00:00"/>
    <d v="2026-01-08T00:00:00"/>
    <n v="48"/>
    <d v="2025-12-11T00:00:00"/>
    <n v="28"/>
    <n v="1"/>
    <m/>
    <n v="1"/>
    <s v="All Store"/>
    <n v="0"/>
    <m/>
    <n v="30.07"/>
    <n v="31.25"/>
    <n v="29.46"/>
    <m/>
    <m/>
    <m/>
    <m/>
    <m/>
    <m/>
    <m/>
    <m/>
    <m/>
    <m/>
    <n v="30.355"/>
    <n v="0.2850000000000001"/>
    <m/>
    <m/>
    <n v="820"/>
    <n v="1"/>
    <m/>
    <m/>
    <m/>
    <m/>
    <n v="1"/>
    <n v="4603385"/>
    <n v="2061592"/>
    <n v="-23"/>
    <n v="0"/>
    <m/>
    <m/>
    <m/>
    <m/>
    <m/>
    <m/>
    <m/>
    <m/>
    <n v="6664954"/>
  </r>
  <r>
    <n v="8"/>
    <x v="1"/>
    <x v="2"/>
    <s v="Q1"/>
    <x v="0"/>
    <s v="90101418"/>
    <s v="เกี๊ยวหมึก(หมึกผสมหมู)ซีฟู้ด107g,7-11"/>
    <n v="1"/>
    <n v="2"/>
    <n v="0"/>
    <m/>
    <n v="100"/>
    <n v="0.13"/>
    <n v="1"/>
    <n v="1"/>
    <n v="0"/>
    <n v="0"/>
    <m/>
    <m/>
    <m/>
    <n v="1"/>
    <n v="0"/>
    <n v="0"/>
    <m/>
    <m/>
    <m/>
    <m/>
    <m/>
    <m/>
    <m/>
    <m/>
    <m/>
    <n v="0"/>
    <m/>
    <n v="0"/>
    <d v="2025-10-25T00:00:00"/>
    <d v="2026-01-08T00:00:00"/>
    <n v="75"/>
    <d v="2025-11-25T00:00:00"/>
    <n v="44"/>
    <n v="1"/>
    <m/>
    <n v="1"/>
    <s v="All Store"/>
    <n v="0"/>
    <m/>
    <n v="17.03"/>
    <n v="20.64"/>
    <n v="21.53"/>
    <n v="18.12"/>
    <n v="17.57"/>
    <m/>
    <m/>
    <m/>
    <m/>
    <m/>
    <m/>
    <m/>
    <m/>
    <n v="19.465"/>
    <n v="2.435000000000002"/>
    <m/>
    <m/>
    <s v="ไม่ระบุ nutrition บน aw"/>
    <m/>
    <m/>
    <m/>
    <m/>
    <m/>
    <n v="1"/>
    <n v="6961712"/>
    <n v="3298219"/>
    <n v="2185595"/>
    <n v="1617363"/>
    <m/>
    <m/>
    <m/>
    <m/>
    <m/>
    <m/>
    <m/>
    <m/>
    <n v="14062889"/>
  </r>
  <r>
    <n v="9"/>
    <x v="3"/>
    <x v="3"/>
    <s v="Q1"/>
    <x v="0"/>
    <n v="90108256"/>
    <s v="JBBPไก่กุ้งไข่นกกระทาEZYGO110g,7-11"/>
    <n v="1"/>
    <n v="2"/>
    <n v="0"/>
    <m/>
    <n v="100"/>
    <n v="0.21"/>
    <n v="1"/>
    <m/>
    <m/>
    <n v="1"/>
    <s v="สินค้าไม่ผ่าน"/>
    <m/>
    <s v="แป้งเนื้อสัมผัสแห้ง,เมื่อเคี้ยวลักษณะเป็นก้อน"/>
    <n v="1"/>
    <m/>
    <m/>
    <m/>
    <m/>
    <m/>
    <m/>
    <m/>
    <m/>
    <m/>
    <m/>
    <m/>
    <n v="0"/>
    <m/>
    <n v="0"/>
    <d v="2025-11-10T00:00:00"/>
    <d v="2026-01-14T00:00:00"/>
    <n v="65"/>
    <d v="2025-11-14T00:00:00"/>
    <n v="61"/>
    <n v="1"/>
    <m/>
    <n v="1"/>
    <s v="All Store"/>
    <n v="0"/>
    <m/>
    <n v="40.82"/>
    <n v="52.79"/>
    <n v="51.43"/>
    <n v="48.3"/>
    <m/>
    <m/>
    <m/>
    <m/>
    <m/>
    <m/>
    <m/>
    <m/>
    <m/>
    <n v="50.84"/>
    <n v="10.02"/>
    <m/>
    <m/>
    <s v="ไม่ระบุ nutrition บน aw"/>
    <m/>
    <m/>
    <m/>
    <m/>
    <m/>
    <m/>
    <n v="1624628"/>
    <n v="1287205"/>
    <n v="562597"/>
    <n v="19"/>
    <m/>
    <m/>
    <m/>
    <m/>
    <m/>
    <m/>
    <m/>
    <m/>
    <n v="3474449"/>
  </r>
  <r>
    <n v="10"/>
    <x v="3"/>
    <x v="3"/>
    <s v="Q1"/>
    <x v="0"/>
    <n v="90102093"/>
    <s v="สาหร่ายห่อหมูผสมไก่เนื้อปลาบดEZYGO69gคัพ"/>
    <n v="2"/>
    <n v="1"/>
    <n v="0"/>
    <m/>
    <n v="83.33"/>
    <n v="0.21"/>
    <n v="1"/>
    <n v="1"/>
    <m/>
    <m/>
    <m/>
    <m/>
    <m/>
    <n v="1"/>
    <m/>
    <m/>
    <m/>
    <m/>
    <m/>
    <m/>
    <m/>
    <m/>
    <m/>
    <m/>
    <m/>
    <n v="0"/>
    <m/>
    <n v="0"/>
    <d v="2025-12-10T00:00:00"/>
    <d v="2026-01-21T00:00:00"/>
    <n v="42"/>
    <d v="2026-01-05T00:00:00"/>
    <n v="16"/>
    <n v="1"/>
    <m/>
    <n v="1"/>
    <s v="All Store"/>
    <n v="1"/>
    <s v="LB., PKG. สูงกว่าใบขอรหัส"/>
    <n v="32.6"/>
    <n v="20.65"/>
    <n v="23.8"/>
    <n v="23.76"/>
    <n v="18.52"/>
    <m/>
    <m/>
    <m/>
    <m/>
    <m/>
    <m/>
    <m/>
    <m/>
    <n v="21.6825"/>
    <n v="-10.9175"/>
    <m/>
    <m/>
    <s v="ไม่ระบุ nutrition บน aw"/>
    <m/>
    <m/>
    <m/>
    <m/>
    <m/>
    <m/>
    <n v="1446130"/>
    <n v="2537560"/>
    <n v="877397"/>
    <n v="302588"/>
    <m/>
    <m/>
    <m/>
    <m/>
    <m/>
    <m/>
    <m/>
    <m/>
    <n v="5163675"/>
  </r>
  <r>
    <n v="11"/>
    <x v="3"/>
    <x v="3"/>
    <s v="Q1"/>
    <x v="0"/>
    <n v="90108259"/>
    <s v="แรบบิทถั่วแดง ตรา อีซี่โก 50 กรัม, 7-11"/>
    <n v="1"/>
    <n v="2"/>
    <n v="0"/>
    <m/>
    <n v="83.33"/>
    <n v="0.68"/>
    <n v="1"/>
    <n v="1"/>
    <m/>
    <m/>
    <m/>
    <m/>
    <m/>
    <n v="1"/>
    <m/>
    <m/>
    <m/>
    <m/>
    <m/>
    <m/>
    <m/>
    <m/>
    <m/>
    <m/>
    <m/>
    <n v="0"/>
    <m/>
    <n v="0"/>
    <d v="2025-11-27T00:00:00"/>
    <d v="2026-01-28T00:00:00"/>
    <n v="62"/>
    <d v="2025-12-08T00:00:00"/>
    <n v="51"/>
    <n v="1"/>
    <m/>
    <n v="1"/>
    <s v="All Store"/>
    <n v="0"/>
    <m/>
    <n v="39.7"/>
    <n v="42.26"/>
    <n v="44"/>
    <n v="44.68"/>
    <n v="43.4"/>
    <m/>
    <m/>
    <m/>
    <m/>
    <m/>
    <m/>
    <m/>
    <m/>
    <n v="43.585"/>
    <n v="3.884999999999998"/>
    <m/>
    <m/>
    <s v="ไม่ระบุ nutrition บน aw"/>
    <m/>
    <m/>
    <m/>
    <m/>
    <m/>
    <m/>
    <n v="773560"/>
    <n v="1187552"/>
    <n v="811619"/>
    <n v="547221"/>
    <m/>
    <m/>
    <m/>
    <m/>
    <m/>
    <m/>
    <m/>
    <m/>
    <n v="3319952"/>
  </r>
  <r>
    <n v="12"/>
    <x v="3"/>
    <x v="3"/>
    <s v="Q1"/>
    <x v="0"/>
    <n v="90108254"/>
    <s v="เปาลาวาช็อกโกแลต ตรา อีซี่โก 80กรัม,7-11"/>
    <n v="2"/>
    <n v="2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5-12-04T00:00:00"/>
    <d v="2026-01-28T00:00:00"/>
    <n v="55"/>
    <d v="2025-12-11T00:00:00"/>
    <n v="48"/>
    <n v="1"/>
    <m/>
    <n v="1"/>
    <s v="All Store"/>
    <n v="0"/>
    <m/>
    <n v="31.44"/>
    <n v="30.48"/>
    <n v="35.84"/>
    <n v="26.15"/>
    <n v="12.03"/>
    <m/>
    <m/>
    <m/>
    <m/>
    <m/>
    <m/>
    <m/>
    <m/>
    <n v="26.125"/>
    <n v="-5.315000000000001"/>
    <m/>
    <m/>
    <s v="ไม่ระบุ nutrition บน aw"/>
    <m/>
    <m/>
    <m/>
    <m/>
    <m/>
    <m/>
    <n v="568921"/>
    <n v="1066129"/>
    <n v="270317"/>
    <n v="62483"/>
    <m/>
    <m/>
    <m/>
    <m/>
    <m/>
    <m/>
    <m/>
    <m/>
    <n v="1967850"/>
  </r>
  <r>
    <n v="13"/>
    <x v="4"/>
    <x v="4"/>
    <s v="Q1"/>
    <x v="0"/>
    <n v="90139687"/>
    <s v="พะแนงหมู ตราเซเว่นเฟรช IMP2025"/>
    <n v="2"/>
    <n v="1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5-11-26T00:00:00"/>
    <d v="2026-01-24T00:00:00"/>
    <n v="59"/>
    <d v="2025-12-02T00:00:00"/>
    <n v="53"/>
    <m/>
    <n v="1"/>
    <n v="1"/>
    <s v="บางสาขา"/>
    <n v="0"/>
    <m/>
    <n v="35.06"/>
    <n v="41.69"/>
    <n v="42.27"/>
    <n v="43.32"/>
    <n v="39.39"/>
    <m/>
    <m/>
    <m/>
    <m/>
    <m/>
    <m/>
    <m/>
    <m/>
    <n v="41.6675"/>
    <n v="6.607500000000002"/>
    <m/>
    <m/>
    <s v="ไม่ระบุ nutrition บน aw"/>
    <m/>
    <m/>
    <m/>
    <m/>
    <m/>
    <m/>
    <n v="652356"/>
    <n v="662050"/>
    <n v="801638"/>
    <n v="928716"/>
    <m/>
    <m/>
    <m/>
    <m/>
    <m/>
    <m/>
    <m/>
    <m/>
    <n v="3044760"/>
  </r>
  <r>
    <n v="14"/>
    <x v="5"/>
    <x v="5"/>
    <s v="Q1"/>
    <x v="0"/>
    <n v="90138886"/>
    <s v="โอนิกิริซาบะย่างซีอิ๊ว 150g (big size)"/>
    <n v="2"/>
    <s v="BNG"/>
    <n v="0"/>
    <m/>
    <n v="95"/>
    <n v="0"/>
    <n v="1"/>
    <n v="1"/>
    <m/>
    <m/>
    <m/>
    <m/>
    <m/>
    <n v="1"/>
    <m/>
    <m/>
    <m/>
    <m/>
    <m/>
    <m/>
    <m/>
    <m/>
    <m/>
    <m/>
    <m/>
    <n v="0"/>
    <m/>
    <n v="0"/>
    <d v="2025-12-11T00:00:00"/>
    <d v="2026-01-08T00:00:00"/>
    <n v="28"/>
    <d v="2025-12-18T00:00:00"/>
    <n v="21"/>
    <n v="1"/>
    <m/>
    <n v="1"/>
    <s v="ทดลองขาย"/>
    <n v="0"/>
    <m/>
    <n v="26.35"/>
    <n v="22.3"/>
    <n v="25.18"/>
    <n v="30.06"/>
    <n v="25.07"/>
    <m/>
    <m/>
    <m/>
    <m/>
    <m/>
    <m/>
    <m/>
    <m/>
    <n v="25.6525"/>
    <n v="-0.697499999999998"/>
    <m/>
    <m/>
    <s v="ไม่ระบุ nutrition บน aw"/>
    <m/>
    <m/>
    <m/>
    <m/>
    <m/>
    <m/>
    <n v="101004"/>
    <n v="107759"/>
    <n v="7343377"/>
    <n v="16597625"/>
    <m/>
    <m/>
    <m/>
    <m/>
    <m/>
    <m/>
    <m/>
    <m/>
    <n v="24149765"/>
  </r>
  <r>
    <n v="15"/>
    <x v="6"/>
    <x v="5"/>
    <s v="Q1"/>
    <x v="0"/>
    <n v="90138889"/>
    <s v="ข้าวผัดผักรวมมิตร+ไก่ทอด 300 กรัม"/>
    <n v="3"/>
    <s v="BNG2"/>
    <n v="0"/>
    <m/>
    <n v="100"/>
    <n v="0"/>
    <n v="1"/>
    <n v="1"/>
    <m/>
    <m/>
    <m/>
    <m/>
    <m/>
    <m/>
    <n v="1"/>
    <m/>
    <m/>
    <m/>
    <s v="คุณภาพข้าวไม่ผ่าน"/>
    <m/>
    <m/>
    <m/>
    <m/>
    <m/>
    <m/>
    <n v="0"/>
    <m/>
    <n v="0"/>
    <d v="2025-12-01T00:00:00"/>
    <d v="2026-01-15T00:00:00"/>
    <n v="45"/>
    <d v="2025-12-15T00:00:00"/>
    <n v="31"/>
    <n v="1"/>
    <m/>
    <n v="1"/>
    <s v="ทดลองขาย"/>
    <n v="0"/>
    <m/>
    <n v="35.37"/>
    <n v="16.71"/>
    <n v="25.38"/>
    <n v="33.41"/>
    <n v="36.89"/>
    <m/>
    <m/>
    <m/>
    <m/>
    <m/>
    <m/>
    <m/>
    <m/>
    <n v="28.0975"/>
    <n v="-7.272499999999997"/>
    <m/>
    <m/>
    <n v="1040"/>
    <m/>
    <m/>
    <m/>
    <m/>
    <m/>
    <m/>
    <n v="550997"/>
    <n v="523285"/>
    <n v="281467"/>
    <n v="120671"/>
    <m/>
    <m/>
    <m/>
    <m/>
    <m/>
    <m/>
    <m/>
    <m/>
    <n v="1476420"/>
  </r>
  <r>
    <n v="16"/>
    <x v="6"/>
    <x v="5"/>
    <s v="Q1"/>
    <x v="0"/>
    <n v="90138888"/>
    <s v="ข้าวแกงเขียวหวานไก่+หมูปั้นก้อนทอด 300 กรัม"/>
    <n v="3"/>
    <s v="BNG2"/>
    <n v="0"/>
    <m/>
    <n v="100"/>
    <n v="0"/>
    <n v="1"/>
    <m/>
    <m/>
    <n v="1"/>
    <s v="สินค้าไม่ผ่าน"/>
    <m/>
    <s v="ไก่และหมูปั้นก้อนไม่เป็นไปตามาตรฐาน"/>
    <n v="1"/>
    <m/>
    <m/>
    <m/>
    <m/>
    <m/>
    <m/>
    <m/>
    <m/>
    <m/>
    <m/>
    <m/>
    <n v="0"/>
    <m/>
    <n v="0"/>
    <d v="2025-11-26T00:00:00"/>
    <d v="2026-01-15T00:00:00"/>
    <n v="50"/>
    <d v="2025-12-18T00:00:00"/>
    <n v="28"/>
    <n v="1"/>
    <m/>
    <n v="1"/>
    <s v="ทดลองขาย"/>
    <n v="1"/>
    <s v="ค่าแรงและ PKG สูงกว่าใบขอรหัส"/>
    <n v="33.2"/>
    <n v="23.69"/>
    <n v="27.94"/>
    <n v="28.15"/>
    <n v="29.67"/>
    <m/>
    <m/>
    <m/>
    <m/>
    <m/>
    <m/>
    <m/>
    <m/>
    <n v="27.3625"/>
    <n v="-5.837500000000002"/>
    <m/>
    <m/>
    <n v="1130"/>
    <m/>
    <m/>
    <m/>
    <m/>
    <m/>
    <m/>
    <n v="576432"/>
    <n v="713559"/>
    <n v="554583"/>
    <n v="5334724"/>
    <m/>
    <m/>
    <m/>
    <m/>
    <m/>
    <m/>
    <m/>
    <m/>
    <n v="7179298"/>
  </r>
  <r>
    <n v="17"/>
    <x v="6"/>
    <x v="5"/>
    <s v="Q1"/>
    <x v="0"/>
    <n v="90138898"/>
    <s v="ข้าวหอมมันปูกะเพราอกไก่ LV 2026 270 กรัม"/>
    <n v="4"/>
    <s v="3, All"/>
    <n v="0"/>
    <m/>
    <n v="100"/>
    <n v="0"/>
    <n v="1"/>
    <m/>
    <m/>
    <n v="1"/>
    <s v="สินค้าไม่ผ่าน"/>
    <m/>
    <s v="คุณภาพทางเคมีไม่เป็นไปตาม Product spec"/>
    <n v="1"/>
    <m/>
    <m/>
    <m/>
    <m/>
    <m/>
    <m/>
    <m/>
    <m/>
    <m/>
    <m/>
    <m/>
    <n v="0"/>
    <m/>
    <n v="0"/>
    <d v="2025-12-01T00:00:00"/>
    <d v="2026-01-24T00:00:00"/>
    <n v="54"/>
    <d v="2025-12-18T00:00:00"/>
    <n v="37"/>
    <m/>
    <n v="1"/>
    <n v="1"/>
    <s v="All Store"/>
    <n v="0"/>
    <m/>
    <n v="25.39"/>
    <n v="35.95"/>
    <n v="37.09"/>
    <n v="36.85"/>
    <n v="34.7"/>
    <m/>
    <m/>
    <m/>
    <m/>
    <m/>
    <m/>
    <m/>
    <m/>
    <n v="36.14750000000001"/>
    <n v="10.75750000000001"/>
    <m/>
    <m/>
    <n v="690"/>
    <n v="1"/>
    <m/>
    <n v="1"/>
    <m/>
    <m/>
    <m/>
    <n v="2594574"/>
    <n v="9161702"/>
    <n v="10239514"/>
    <n v="9493328"/>
    <m/>
    <m/>
    <m/>
    <m/>
    <m/>
    <m/>
    <m/>
    <m/>
    <n v="31489118"/>
  </r>
  <r>
    <n v="18"/>
    <x v="6"/>
    <x v="5"/>
    <s v="Q1"/>
    <x v="0"/>
    <n v="90138896"/>
    <s v="ข้าวไรซ์เบอร์รี่ผสมข้าวหอมมะลิลาบอกไก่ LV 2026 270 กรัม"/>
    <n v="1"/>
    <s v="4, All"/>
    <n v="0"/>
    <m/>
    <n v="100"/>
    <n v="0"/>
    <n v="1"/>
    <m/>
    <m/>
    <n v="1"/>
    <s v="สินค้าไม่ผ่าน"/>
    <m/>
    <m/>
    <m/>
    <n v="1"/>
    <m/>
    <m/>
    <m/>
    <s v="แก้ไข PDS ส่วนหุงข้าวให้ตรงกับ RD 7"/>
    <m/>
    <m/>
    <m/>
    <m/>
    <m/>
    <m/>
    <n v="0"/>
    <m/>
    <n v="0"/>
    <d v="2025-12-01T00:00:00"/>
    <d v="2026-01-23T00:00:00"/>
    <n v="53"/>
    <d v="2025-12-18T00:00:00"/>
    <n v="36"/>
    <m/>
    <n v="1"/>
    <n v="1"/>
    <s v="All Store"/>
    <n v="0"/>
    <m/>
    <n v="26.26"/>
    <n v="31.94"/>
    <n v="33.57"/>
    <n v="33.62"/>
    <n v="31.34"/>
    <m/>
    <m/>
    <m/>
    <m/>
    <m/>
    <m/>
    <m/>
    <m/>
    <n v="32.6175"/>
    <n v="6.357499999999998"/>
    <m/>
    <m/>
    <n v="770"/>
    <n v="1"/>
    <m/>
    <n v="1"/>
    <m/>
    <m/>
    <m/>
    <n v="2368040"/>
    <n v="7604327"/>
    <n v="8342388"/>
    <n v="7360410"/>
    <m/>
    <m/>
    <m/>
    <m/>
    <m/>
    <m/>
    <m/>
    <m/>
    <n v="25675165"/>
  </r>
  <r>
    <n v="19"/>
    <x v="6"/>
    <x v="5"/>
    <s v="Q1"/>
    <x v="0"/>
    <n v="90138899"/>
    <s v="ข้าวหอมมันปูอกไก่ย่างจิ้มแจ่ว LV 2026"/>
    <n v="2"/>
    <s v="3, All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5-12-01T00:00:00"/>
    <d v="2026-01-21T00:00:00"/>
    <n v="51"/>
    <d v="2025-01-05T00:00:00"/>
    <n v="381"/>
    <m/>
    <n v="1"/>
    <n v="1"/>
    <s v="All Store"/>
    <n v="0"/>
    <m/>
    <n v="30.16"/>
    <n v="37.54"/>
    <n v="38.23"/>
    <n v="37.78"/>
    <n v="37.28"/>
    <m/>
    <m/>
    <m/>
    <m/>
    <m/>
    <m/>
    <m/>
    <m/>
    <n v="37.7075"/>
    <n v="7.547499999999996"/>
    <m/>
    <m/>
    <n v="970"/>
    <n v="1"/>
    <m/>
    <n v="1"/>
    <m/>
    <m/>
    <m/>
    <n v="5558327"/>
    <n v="11992220"/>
    <n v="12905062"/>
    <n v="12133213"/>
    <m/>
    <m/>
    <m/>
    <m/>
    <m/>
    <m/>
    <m/>
    <m/>
    <n v="42588822"/>
  </r>
  <r>
    <n v="20"/>
    <x v="4"/>
    <x v="5"/>
    <s v="Q1"/>
    <x v="0"/>
    <n v="90138897"/>
    <s v="ต้มยำกุ้งน้ำข้น LV 2026 310 กรัม"/>
    <n v="3"/>
    <s v="4, All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5-11-06T00:00:00"/>
    <d v="2026-01-15T00:00:00"/>
    <n v="70"/>
    <d v="2025-12-23T00:00:00"/>
    <n v="23"/>
    <m/>
    <n v="1"/>
    <n v="1"/>
    <s v="All Store"/>
    <n v="0"/>
    <m/>
    <n v="20.52"/>
    <n v="19.67"/>
    <n v="21.48"/>
    <n v="22.56"/>
    <n v="20.54"/>
    <m/>
    <m/>
    <m/>
    <m/>
    <m/>
    <m/>
    <m/>
    <m/>
    <n v="21.0625"/>
    <n v="0.5425000000000004"/>
    <m/>
    <m/>
    <s v="ไม่ระบุ nutrition บน aw"/>
    <m/>
    <m/>
    <m/>
    <m/>
    <m/>
    <m/>
    <n v="5304783"/>
    <n v="7992490"/>
    <n v="8679522"/>
    <n v="8270337"/>
    <m/>
    <m/>
    <m/>
    <m/>
    <m/>
    <m/>
    <m/>
    <m/>
    <n v="30247132"/>
  </r>
  <r>
    <n v="21"/>
    <x v="3"/>
    <x v="6"/>
    <s v="Q1"/>
    <x v="0"/>
    <n v="90140510"/>
    <s v="FZN BBQ Chicken Chick Buns"/>
    <n v="1"/>
    <n v="2"/>
    <n v="0"/>
    <m/>
    <n v="93.33"/>
    <n v="0.36"/>
    <n v="1"/>
    <n v="1"/>
    <m/>
    <m/>
    <m/>
    <m/>
    <m/>
    <n v="1"/>
    <m/>
    <m/>
    <m/>
    <m/>
    <m/>
    <m/>
    <m/>
    <d v="2026-01-13T00:00:00"/>
    <d v="2025-11-24T00:00:00"/>
    <d v="2025-12-01T00:00:00"/>
    <d v="2025-12-18T00:00:00"/>
    <n v="24"/>
    <m/>
    <n v="24"/>
    <m/>
    <m/>
    <m/>
    <m/>
    <m/>
    <n v="1"/>
    <m/>
    <n v="1"/>
    <s v="ต่างประเทศ"/>
    <n v="1"/>
    <s v="ราคา PKG LB สูงกว่าใบขอรหัส"/>
    <n v="44.96"/>
    <n v="39.18"/>
    <m/>
    <m/>
    <m/>
    <m/>
    <m/>
    <m/>
    <m/>
    <m/>
    <m/>
    <m/>
    <m/>
    <n v="39.18"/>
    <n v="-5.780000000000001"/>
    <m/>
    <m/>
    <s v="ไม่ระบุ nutrition บน aw"/>
    <m/>
    <m/>
    <m/>
    <m/>
    <m/>
    <m/>
    <n v="711486"/>
    <n v="0"/>
    <n v="0"/>
    <n v="0"/>
    <m/>
    <m/>
    <m/>
    <m/>
    <m/>
    <m/>
    <m/>
    <m/>
    <n v="711486"/>
  </r>
  <r>
    <n v="22"/>
    <x v="3"/>
    <x v="6"/>
    <s v="Q1"/>
    <x v="0"/>
    <n v="90140509"/>
    <s v="FZN Sweet &amp; Sour Hot Cross Buns"/>
    <n v="1"/>
    <n v="2"/>
    <n v="0"/>
    <m/>
    <n v="95.23999999999999"/>
    <n v="0.71"/>
    <n v="1"/>
    <n v="1"/>
    <m/>
    <m/>
    <m/>
    <m/>
    <m/>
    <n v="1"/>
    <m/>
    <m/>
    <m/>
    <m/>
    <m/>
    <m/>
    <m/>
    <d v="2026-01-13T00:00:00"/>
    <d v="2025-11-24T00:00:00"/>
    <d v="2025-12-01T00:00:00"/>
    <d v="2025-12-17T00:00:00"/>
    <n v="23"/>
    <m/>
    <n v="23"/>
    <m/>
    <m/>
    <m/>
    <m/>
    <m/>
    <n v="1"/>
    <m/>
    <n v="1"/>
    <s v="ต่างประเทศ"/>
    <n v="1"/>
    <s v="ราคา PKG LB สูงกว่าใบขอรหัส"/>
    <n v="51.89"/>
    <n v="42.7"/>
    <m/>
    <m/>
    <m/>
    <m/>
    <m/>
    <m/>
    <m/>
    <m/>
    <m/>
    <m/>
    <m/>
    <n v="42.7"/>
    <n v="-9.189999999999998"/>
    <m/>
    <m/>
    <s v="ไม่ระบุ nutrition บน aw"/>
    <m/>
    <m/>
    <m/>
    <m/>
    <m/>
    <m/>
    <n v="577590"/>
    <n v="0"/>
    <n v="0"/>
    <n v="0"/>
    <m/>
    <m/>
    <m/>
    <m/>
    <m/>
    <m/>
    <m/>
    <m/>
    <n v="577590"/>
  </r>
  <r>
    <n v="23"/>
    <x v="6"/>
    <x v="5"/>
    <s v="Q1"/>
    <x v="1"/>
    <n v="90138904"/>
    <s v="ข้าวกะเพราหมู LV 2026_x0009_"/>
    <n v="3"/>
    <s v="BNG2, All"/>
    <n v="0"/>
    <m/>
    <n v="100"/>
    <n v="0"/>
    <n v="1"/>
    <m/>
    <m/>
    <n v="1"/>
    <s v="สินค้าไม่ผ่าน"/>
    <m/>
    <s v="กะเพราหมูเป็นชิ้นแหลก"/>
    <n v="1"/>
    <m/>
    <m/>
    <m/>
    <m/>
    <m/>
    <m/>
    <m/>
    <m/>
    <m/>
    <m/>
    <m/>
    <n v="0"/>
    <m/>
    <n v="0"/>
    <d v="2025-12-18T00:00:00"/>
    <d v="2026-02-19T00:00:00"/>
    <n v="63"/>
    <d v="2026-01-18T00:00:00"/>
    <n v="32"/>
    <m/>
    <n v="1"/>
    <n v="1"/>
    <s v="All Store"/>
    <n v="0"/>
    <m/>
    <n v="35.88"/>
    <m/>
    <n v="46.2"/>
    <n v="46.33"/>
    <n v="44.56"/>
    <m/>
    <m/>
    <m/>
    <m/>
    <m/>
    <m/>
    <m/>
    <m/>
    <n v="45.69666666666667"/>
    <n v="9.816666666666663"/>
    <m/>
    <m/>
    <n v="710"/>
    <m/>
    <m/>
    <m/>
    <m/>
    <m/>
    <m/>
    <n v="0"/>
    <n v="13641147"/>
    <n v="37190709"/>
    <n v="40016069"/>
    <m/>
    <m/>
    <m/>
    <m/>
    <m/>
    <m/>
    <m/>
    <m/>
    <n v="90847925"/>
  </r>
  <r>
    <n v="24"/>
    <x v="4"/>
    <x v="5"/>
    <s v="Q1"/>
    <x v="1"/>
    <n v="90138901"/>
    <s v="ไข่เจียวปู 270 กรัม"/>
    <n v="4"/>
    <s v="Pilot plant, 1"/>
    <n v="0"/>
    <m/>
    <n v="100"/>
    <n v="0"/>
    <n v="1"/>
    <m/>
    <m/>
    <n v="1"/>
    <s v="กระบวนการไม่ผ่าน (ผลิต)"/>
    <m/>
    <s v="สถานที่การผลิตยังไม่พร้อม และ flow การผลิตไม่ต่อเนื่อง"/>
    <n v="1"/>
    <m/>
    <m/>
    <m/>
    <m/>
    <m/>
    <m/>
    <m/>
    <m/>
    <m/>
    <m/>
    <m/>
    <n v="0"/>
    <m/>
    <n v="0"/>
    <d v="2026-01-19T00:00:00"/>
    <d v="2026-02-27T00:00:00"/>
    <n v="39"/>
    <d v="2026-02-09T00:00:00"/>
    <n v="18"/>
    <n v="1"/>
    <m/>
    <n v="1"/>
    <s v="ทดลองขาย"/>
    <n v="0"/>
    <m/>
    <n v="30.23"/>
    <m/>
    <n v="19.8"/>
    <n v="30.86"/>
    <m/>
    <m/>
    <m/>
    <m/>
    <m/>
    <m/>
    <m/>
    <m/>
    <m/>
    <n v="25.33"/>
    <n v="-4.900000000000002"/>
    <m/>
    <m/>
    <s v="ไม่ระบุ nutrition บน aw"/>
    <m/>
    <m/>
    <m/>
    <m/>
    <m/>
    <m/>
    <n v="0"/>
    <n v="183183"/>
    <n v="223369"/>
    <n v="204"/>
    <m/>
    <m/>
    <m/>
    <m/>
    <m/>
    <m/>
    <m/>
    <m/>
    <n v="406756"/>
  </r>
  <r>
    <n v="25"/>
    <x v="6"/>
    <x v="5"/>
    <s v="Q1"/>
    <x v="2"/>
    <n v="90138911"/>
    <s v="ข้าวหมกไก่ 280 กรัม"/>
    <n v="2"/>
    <s v="1, All BU"/>
    <n v="0"/>
    <m/>
    <n v="100"/>
    <n v="0"/>
    <n v="1"/>
    <n v="1"/>
    <m/>
    <m/>
    <m/>
    <m/>
    <m/>
    <m/>
    <m/>
    <n v="1"/>
    <s v="สินค้าไม่ผ่าน"/>
    <s v="Man"/>
    <s v="น้ำจิ้มหวานไม่เปรี้ยว เกิดจากขั้นตอนผสมก่อนบรรจุุไม่เป็นไปตามมาตรฐาน"/>
    <s v="ไม่เข้าซ้ำ"/>
    <m/>
    <m/>
    <m/>
    <m/>
    <m/>
    <n v="0"/>
    <m/>
    <n v="0"/>
    <d v="2026-02-03T00:00:00"/>
    <d v="2026-03-23T00:00:00"/>
    <n v="48"/>
    <d v="2026-02-24T00:00:00"/>
    <n v="27"/>
    <m/>
    <n v="1"/>
    <n v="1"/>
    <s v="All Store"/>
    <n v="0"/>
    <m/>
    <n v="24.27"/>
    <m/>
    <m/>
    <n v="24.08"/>
    <n v="22.91"/>
    <m/>
    <m/>
    <m/>
    <m/>
    <m/>
    <m/>
    <m/>
    <m/>
    <n v="23.495"/>
    <n v="-0.7750000000000021"/>
    <m/>
    <m/>
    <n v="1620"/>
    <m/>
    <m/>
    <m/>
    <m/>
    <m/>
    <m/>
    <n v="0"/>
    <n v="0"/>
    <n v="3797235"/>
    <n v="12947612"/>
    <m/>
    <m/>
    <m/>
    <m/>
    <m/>
    <m/>
    <m/>
    <m/>
    <n v="16744847"/>
  </r>
  <r>
    <n v="26"/>
    <x v="6"/>
    <x v="5"/>
    <s v="Q1"/>
    <x v="2"/>
    <n v="90138906"/>
    <s v="แกงส้มชะอมกุ้ง 310 กรัม"/>
    <n v="1"/>
    <s v="4, All BU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6-02-09T00:00:00"/>
    <d v="2026-03-12T00:00:00"/>
    <n v="31"/>
    <d v="2026-02-19T00:00:00"/>
    <n v="21"/>
    <m/>
    <n v="1"/>
    <n v="1"/>
    <s v="All Store"/>
    <n v="1"/>
    <s v="ค่า RM สูงกว่าใบขอรหัส"/>
    <n v="18.73"/>
    <m/>
    <m/>
    <n v="14.42"/>
    <n v="13.55"/>
    <m/>
    <m/>
    <m/>
    <m/>
    <m/>
    <m/>
    <m/>
    <m/>
    <n v="13.985"/>
    <n v="-4.745000000000001"/>
    <m/>
    <m/>
    <s v="ไม่ระบุ nutrition บน aw"/>
    <m/>
    <m/>
    <m/>
    <m/>
    <m/>
    <m/>
    <n v="0"/>
    <n v="0"/>
    <n v="7689311"/>
    <n v="12157268"/>
    <m/>
    <m/>
    <m/>
    <m/>
    <m/>
    <m/>
    <m/>
    <m/>
    <n v="19846579"/>
  </r>
  <r>
    <n v="27"/>
    <x v="7"/>
    <x v="5"/>
    <s v="Q1"/>
    <x v="1"/>
    <n v="90138903"/>
    <s v="ก๋วยเตี๋ยวคั่วไก่ 250 กรัม"/>
    <n v="5"/>
    <s v="4, All"/>
    <n v="0"/>
    <m/>
    <n v="100"/>
    <n v="0"/>
    <n v="1"/>
    <m/>
    <m/>
    <n v="1"/>
    <s v="สินค้าไม่ผ่าน"/>
    <m/>
    <s v="ชิ้นไก่แหลกเนื่องจากกระบวนการผัดไม่เหมาะสม"/>
    <n v="1"/>
    <m/>
    <m/>
    <m/>
    <m/>
    <m/>
    <m/>
    <m/>
    <m/>
    <m/>
    <m/>
    <m/>
    <n v="0"/>
    <m/>
    <n v="0"/>
    <d v="2026-01-15T00:00:00"/>
    <d v="2026-02-19T00:00:00"/>
    <n v="35"/>
    <d v="2026-01-29T00:00:00"/>
    <n v="21"/>
    <n v="1"/>
    <m/>
    <n v="1"/>
    <s v="All Store"/>
    <n v="0"/>
    <m/>
    <n v="30.02"/>
    <m/>
    <n v="33.13"/>
    <n v="33.1"/>
    <n v="33.79"/>
    <m/>
    <m/>
    <m/>
    <m/>
    <m/>
    <m/>
    <m/>
    <m/>
    <n v="33.34"/>
    <n v="3.320000000000004"/>
    <m/>
    <m/>
    <n v="1490"/>
    <m/>
    <m/>
    <m/>
    <m/>
    <m/>
    <m/>
    <n v="0"/>
    <n v="5514646"/>
    <n v="12418231"/>
    <n v="11629431"/>
    <m/>
    <m/>
    <m/>
    <m/>
    <m/>
    <m/>
    <m/>
    <m/>
    <n v="29562308"/>
  </r>
  <r>
    <n v="28"/>
    <x v="7"/>
    <x v="7"/>
    <s v="Q1"/>
    <x v="1"/>
    <n v="90139663"/>
    <s v="ขนมจีนแกงเขียวหวานไก่ 290 กรัม"/>
    <n v="4"/>
    <n v="1"/>
    <n v="0"/>
    <m/>
    <n v="100"/>
    <n v="0"/>
    <n v="1"/>
    <m/>
    <m/>
    <m/>
    <m/>
    <m/>
    <m/>
    <n v="0"/>
    <m/>
    <m/>
    <m/>
    <m/>
    <m/>
    <m/>
    <m/>
    <m/>
    <m/>
    <m/>
    <m/>
    <n v="0"/>
    <m/>
    <n v="0"/>
    <d v="2026-01-05T00:00:00"/>
    <d v="2026-02-26T00:00:00"/>
    <n v="52"/>
    <d v="2026-01-21T00:00:00"/>
    <n v="36"/>
    <n v="1"/>
    <m/>
    <n v="1"/>
    <s v="All Store"/>
    <n v="0"/>
    <m/>
    <n v="31.49"/>
    <m/>
    <n v="31.76"/>
    <n v="29.86"/>
    <n v="29.4"/>
    <m/>
    <m/>
    <m/>
    <m/>
    <m/>
    <m/>
    <m/>
    <m/>
    <n v="30.34"/>
    <n v="-1.149999999999995"/>
    <m/>
    <m/>
    <n v="910"/>
    <n v="1"/>
    <m/>
    <m/>
    <m/>
    <m/>
    <m/>
    <n v="0"/>
    <n v="4354930"/>
    <n v="2367257"/>
    <n v="2624483"/>
    <m/>
    <m/>
    <m/>
    <m/>
    <m/>
    <m/>
    <m/>
    <m/>
    <n v="9346670"/>
  </r>
  <r>
    <n v="29"/>
    <x v="4"/>
    <x v="4"/>
    <s v="Q1"/>
    <x v="1"/>
    <n v="90139689"/>
    <s v="ไก่สับคั่วพริกเกลือพร้อมกระเทียมเจียว62g"/>
    <n v="3"/>
    <n v="1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5-12-10T00:00:00"/>
    <d v="2026-02-24T00:00:00"/>
    <n v="76"/>
    <d v="2026-01-02T00:00:00"/>
    <n v="53"/>
    <n v="1"/>
    <m/>
    <n v="1"/>
    <s v="บางสาขา"/>
    <n v="0"/>
    <m/>
    <n v="37.02"/>
    <m/>
    <n v="42.37"/>
    <n v="41.52"/>
    <n v="41.49"/>
    <m/>
    <m/>
    <m/>
    <m/>
    <m/>
    <m/>
    <m/>
    <m/>
    <n v="41.79333333333333"/>
    <n v="4.773333333333326"/>
    <m/>
    <m/>
    <s v="ไม่ระบุ nutrition บน aw"/>
    <m/>
    <m/>
    <m/>
    <m/>
    <m/>
    <m/>
    <n v="0"/>
    <n v="487077"/>
    <n v="733618"/>
    <n v="497171"/>
    <m/>
    <m/>
    <m/>
    <m/>
    <m/>
    <m/>
    <m/>
    <m/>
    <n v="1717866"/>
  </r>
  <r>
    <n v="30"/>
    <x v="4"/>
    <x v="7"/>
    <s v="Q1"/>
    <x v="1"/>
    <n v="90139674"/>
    <s v="แกงเห็ดรวมมิตร 225 กรัม IMP2026, Frozen"/>
    <n v="8"/>
    <n v="3"/>
    <n v="0"/>
    <m/>
    <n v="100"/>
    <n v="0"/>
    <n v="1"/>
    <m/>
    <m/>
    <m/>
    <m/>
    <m/>
    <m/>
    <m/>
    <m/>
    <m/>
    <m/>
    <m/>
    <m/>
    <m/>
    <m/>
    <m/>
    <m/>
    <m/>
    <m/>
    <n v="0"/>
    <m/>
    <n v="0"/>
    <d v="2025-08-25T00:00:00"/>
    <d v="2025-10-30T00:00:00"/>
    <n v="66"/>
    <d v="2025-09-16T00:00:00"/>
    <n v="44"/>
    <m/>
    <n v="1"/>
    <n v="1"/>
    <s v="All Store"/>
    <n v="0"/>
    <m/>
    <n v="32.92"/>
    <m/>
    <n v="35.09"/>
    <n v="35.09"/>
    <n v="33.73"/>
    <m/>
    <m/>
    <m/>
    <m/>
    <m/>
    <m/>
    <m/>
    <m/>
    <n v="34.63666666666666"/>
    <n v="1.716666666666661"/>
    <m/>
    <m/>
    <s v="ไม่ระบุ nutrition บน aw"/>
    <m/>
    <m/>
    <m/>
    <m/>
    <m/>
    <m/>
    <n v="0"/>
    <n v="4024986"/>
    <n v="6713483"/>
    <n v="8036297"/>
    <m/>
    <m/>
    <m/>
    <m/>
    <m/>
    <m/>
    <m/>
    <m/>
    <n v="18774766"/>
  </r>
  <r>
    <n v="31"/>
    <x v="1"/>
    <x v="0"/>
    <s v="Q1"/>
    <x v="1"/>
    <n v="90113354"/>
    <s v="เลิฟเวอร์BGไก่ทอดชีสEZYGO139g,7-11"/>
    <n v="1"/>
    <n v="1"/>
    <n v="0"/>
    <m/>
    <n v="100"/>
    <n v="0.15"/>
    <n v="1"/>
    <n v="1"/>
    <n v="0"/>
    <n v="0"/>
    <m/>
    <m/>
    <m/>
    <n v="1"/>
    <n v="0"/>
    <n v="0"/>
    <m/>
    <m/>
    <m/>
    <m/>
    <m/>
    <m/>
    <m/>
    <m/>
    <m/>
    <n v="0"/>
    <m/>
    <n v="0"/>
    <d v="2025-12-21T00:00:00"/>
    <d v="2026-02-05T00:00:00"/>
    <n v="46"/>
    <d v="2026-01-06T00:00:00"/>
    <n v="30"/>
    <n v="1"/>
    <m/>
    <n v="1"/>
    <s v="All Store"/>
    <n v="0"/>
    <m/>
    <n v="25.25"/>
    <m/>
    <n v="32.18"/>
    <n v="27.15"/>
    <m/>
    <m/>
    <m/>
    <m/>
    <m/>
    <m/>
    <m/>
    <m/>
    <m/>
    <n v="29.665"/>
    <n v="4.414999999999999"/>
    <m/>
    <m/>
    <n v="980"/>
    <n v="1"/>
    <m/>
    <m/>
    <m/>
    <m/>
    <m/>
    <n v="0"/>
    <n v="4512763"/>
    <n v="1159764"/>
    <n v="0"/>
    <m/>
    <m/>
    <m/>
    <m/>
    <m/>
    <m/>
    <m/>
    <m/>
    <n v="5672527"/>
  </r>
  <r>
    <n v="32"/>
    <x v="1"/>
    <x v="0"/>
    <s v="Q1"/>
    <x v="1"/>
    <s v="90113357"/>
    <s v="BGกุ้งและไข่กุ้งEZYGO98g7-11IMP2026"/>
    <n v="1"/>
    <s v="CHB"/>
    <n v="0"/>
    <m/>
    <n v="100"/>
    <n v="0"/>
    <n v="1"/>
    <n v="1"/>
    <n v="0"/>
    <n v="0"/>
    <m/>
    <m/>
    <m/>
    <n v="1"/>
    <n v="0"/>
    <n v="0"/>
    <m/>
    <m/>
    <m/>
    <m/>
    <m/>
    <m/>
    <m/>
    <m/>
    <m/>
    <n v="0"/>
    <m/>
    <n v="0"/>
    <d v="2026-01-02T00:00:00"/>
    <d v="2026-02-12T00:00:00"/>
    <n v="41"/>
    <d v="2026-01-12T00:00:00"/>
    <n v="31"/>
    <m/>
    <n v="1"/>
    <n v="1"/>
    <s v="All Store"/>
    <n v="1"/>
    <m/>
    <n v="29.65"/>
    <m/>
    <n v="28.53"/>
    <n v="28.25"/>
    <n v="26"/>
    <m/>
    <m/>
    <m/>
    <m/>
    <m/>
    <m/>
    <m/>
    <m/>
    <n v="27.59333333333333"/>
    <n v="-2.056666666666665"/>
    <m/>
    <m/>
    <n v="720"/>
    <n v="1"/>
    <m/>
    <m/>
    <m/>
    <m/>
    <m/>
    <n v="0"/>
    <n v="2800165"/>
    <n v="3233169"/>
    <n v="2406599"/>
    <m/>
    <m/>
    <m/>
    <m/>
    <m/>
    <m/>
    <m/>
    <m/>
    <n v="8439933"/>
  </r>
  <r>
    <n v="33"/>
    <x v="1"/>
    <x v="0"/>
    <s v="Q1"/>
    <x v="1"/>
    <s v="90113358"/>
    <s v="เบอร์เกอร์หมูEZGO93g(IMP2026,)7-11"/>
    <n v="1"/>
    <s v="1,All BU"/>
    <n v="0"/>
    <m/>
    <n v="100"/>
    <n v="0.08"/>
    <n v="1"/>
    <n v="0"/>
    <n v="0"/>
    <n v="1"/>
    <s v="สินค้าไม่ผ่าน"/>
    <m/>
    <s v="เนื้อสัมผัสไม่ได้"/>
    <n v="0"/>
    <n v="0"/>
    <n v="1"/>
    <s v="สินค้าไม่ผ่าน"/>
    <s v="Man"/>
    <s v="เนื้อสัมผัสไม่ได้"/>
    <s v="ไม่เข้าซ้ำ"/>
    <m/>
    <m/>
    <m/>
    <m/>
    <m/>
    <n v="0"/>
    <m/>
    <n v="0"/>
    <d v="2026-01-23T00:00:00"/>
    <d v="2026-02-26T00:00:00"/>
    <n v="34"/>
    <d v="2026-01-29T00:00:00"/>
    <n v="28"/>
    <m/>
    <n v="1"/>
    <n v="1"/>
    <s v="All Store"/>
    <n v="0"/>
    <m/>
    <n v="30.73"/>
    <m/>
    <n v="35.01"/>
    <n v="34.76"/>
    <n v="31.32"/>
    <m/>
    <m/>
    <m/>
    <m/>
    <m/>
    <m/>
    <m/>
    <m/>
    <n v="33.69666666666667"/>
    <n v="2.966666666666665"/>
    <m/>
    <m/>
    <n v="540"/>
    <n v="1"/>
    <m/>
    <m/>
    <m/>
    <m/>
    <m/>
    <n v="0"/>
    <n v="2002288"/>
    <n v="12903828"/>
    <n v="14285232"/>
    <m/>
    <m/>
    <m/>
    <m/>
    <m/>
    <m/>
    <m/>
    <m/>
    <n v="29191348"/>
  </r>
  <r>
    <n v="34"/>
    <x v="0"/>
    <x v="0"/>
    <s v="Q1"/>
    <x v="1"/>
    <s v="90113353"/>
    <s v="เบอร์เกอร์ข้าวเหนียวหมูย่างEZYGO141g7-11"/>
    <n v="1"/>
    <n v="4"/>
    <n v="0"/>
    <m/>
    <n v="100"/>
    <n v="0"/>
    <n v="1"/>
    <n v="1"/>
    <n v="0"/>
    <n v="0"/>
    <m/>
    <m/>
    <m/>
    <n v="1"/>
    <n v="0"/>
    <n v="0"/>
    <m/>
    <m/>
    <m/>
    <m/>
    <m/>
    <m/>
    <m/>
    <m/>
    <m/>
    <n v="0"/>
    <m/>
    <n v="0"/>
    <d v="2025-12-19T00:00:00"/>
    <d v="2026-02-05T00:00:00"/>
    <n v="48"/>
    <d v="2026-01-06T00:00:00"/>
    <n v="30"/>
    <n v="1"/>
    <m/>
    <n v="1"/>
    <s v="All Store"/>
    <n v="0"/>
    <m/>
    <n v="36.65"/>
    <m/>
    <n v="64.56999999999999"/>
    <n v="64.84999999999999"/>
    <n v="56.28"/>
    <m/>
    <m/>
    <m/>
    <m/>
    <m/>
    <m/>
    <m/>
    <m/>
    <n v="61.9"/>
    <n v="25.25"/>
    <m/>
    <m/>
    <n v="350"/>
    <n v="1"/>
    <m/>
    <m/>
    <m/>
    <m/>
    <m/>
    <n v="0"/>
    <n v="3518368"/>
    <n v="2029084"/>
    <n v="985173"/>
    <m/>
    <m/>
    <m/>
    <m/>
    <m/>
    <m/>
    <m/>
    <m/>
    <n v="6532625"/>
  </r>
  <r>
    <n v="35"/>
    <x v="0"/>
    <x v="8"/>
    <s v="Q1"/>
    <x v="1"/>
    <s v="90138905"/>
    <s v="ข้าวเหนียวไก่ย่างแดง อีซี่โก 170g, 7-11"/>
    <n v="2"/>
    <n v="4"/>
    <n v="0"/>
    <m/>
    <n v="100"/>
    <n v="0.13"/>
    <n v="1"/>
    <n v="1"/>
    <n v="0"/>
    <n v="0"/>
    <m/>
    <m/>
    <m/>
    <n v="0"/>
    <n v="1"/>
    <n v="0"/>
    <m/>
    <m/>
    <m/>
    <m/>
    <m/>
    <m/>
    <m/>
    <m/>
    <m/>
    <n v="0"/>
    <m/>
    <n v="0"/>
    <d v="2025-12-23T00:00:00"/>
    <d v="2026-02-05T00:00:00"/>
    <n v="44"/>
    <d v="2026-01-29T00:00:00"/>
    <n v="7"/>
    <n v="1"/>
    <m/>
    <n v="1"/>
    <s v="ทดลองขาย"/>
    <n v="1"/>
    <s v="RM. LB cost สูงกว่าขอรหัส และราคาขายน้อยกว่าใบขอรหัส"/>
    <n v="27.69"/>
    <m/>
    <n v="-9.33"/>
    <n v="-3.79"/>
    <n v="-4.54"/>
    <m/>
    <m/>
    <m/>
    <m/>
    <m/>
    <m/>
    <m/>
    <m/>
    <n v="-5.886666666666667"/>
    <n v="-33.57666666666667"/>
    <m/>
    <m/>
    <n v="550"/>
    <n v="1"/>
    <m/>
    <m/>
    <m/>
    <m/>
    <m/>
    <n v="0"/>
    <n v="512010"/>
    <n v="358015"/>
    <n v="284820"/>
    <m/>
    <m/>
    <m/>
    <m/>
    <m/>
    <m/>
    <m/>
    <m/>
    <n v="1154845"/>
  </r>
  <r>
    <n v="36"/>
    <x v="3"/>
    <x v="3"/>
    <s v="Q1"/>
    <x v="1"/>
    <n v="90108281"/>
    <s v="แรบบิทครีม ตรา อีซี่โก 60 กรัม,7-11 Lv26"/>
    <n v="1"/>
    <n v="2"/>
    <n v="0"/>
    <m/>
    <n v="100"/>
    <n v="0.42"/>
    <n v="1"/>
    <n v="1"/>
    <m/>
    <m/>
    <m/>
    <m/>
    <m/>
    <n v="1"/>
    <m/>
    <m/>
    <m/>
    <m/>
    <m/>
    <m/>
    <m/>
    <m/>
    <m/>
    <m/>
    <m/>
    <n v="0"/>
    <m/>
    <n v="0"/>
    <d v="2026-01-05T00:00:00"/>
    <d v="2026-02-25T00:00:00"/>
    <n v="51"/>
    <d v="2026-01-14T00:00:00"/>
    <n v="42"/>
    <m/>
    <n v="1"/>
    <n v="1"/>
    <s v="All Store"/>
    <n v="0"/>
    <m/>
    <n v="36.94"/>
    <m/>
    <n v="49"/>
    <n v="50.41"/>
    <n v="49.54"/>
    <m/>
    <m/>
    <m/>
    <m/>
    <m/>
    <m/>
    <m/>
    <m/>
    <n v="49.65"/>
    <n v="12.71"/>
    <m/>
    <m/>
    <s v="ไม่ระบุ nutrition บน aw"/>
    <m/>
    <m/>
    <m/>
    <m/>
    <m/>
    <m/>
    <n v="0"/>
    <n v="724593"/>
    <n v="5126676"/>
    <n v="5106241"/>
    <m/>
    <m/>
    <m/>
    <m/>
    <m/>
    <m/>
    <m/>
    <m/>
    <n v="10957510"/>
  </r>
  <r>
    <n v="37"/>
    <x v="3"/>
    <x v="3"/>
    <s v="Q1"/>
    <x v="1"/>
    <n v="90108280"/>
    <s v="เปาเผือกโมจิ (ซาลาเปา) อีซี่โก 80g,7-11"/>
    <n v="1"/>
    <n v="2"/>
    <n v="0"/>
    <m/>
    <n v="100"/>
    <n v="0.52"/>
    <n v="1"/>
    <n v="1"/>
    <m/>
    <m/>
    <m/>
    <m/>
    <m/>
    <n v="1"/>
    <m/>
    <m/>
    <m/>
    <m/>
    <m/>
    <m/>
    <m/>
    <m/>
    <m/>
    <m/>
    <m/>
    <n v="0"/>
    <m/>
    <n v="0"/>
    <d v="2026-01-17T00:00:00"/>
    <d v="2026-02-25T00:00:00"/>
    <n v="39"/>
    <d v="2026-01-26T00:00:00"/>
    <n v="30"/>
    <n v="1"/>
    <m/>
    <n v="1"/>
    <s v="All Store"/>
    <n v="0"/>
    <m/>
    <n v="39.89"/>
    <m/>
    <n v="52.95"/>
    <n v="50.93"/>
    <n v="49.69"/>
    <m/>
    <m/>
    <m/>
    <m/>
    <m/>
    <m/>
    <m/>
    <m/>
    <n v="51.19"/>
    <n v="11.3"/>
    <m/>
    <m/>
    <s v="ไม่ระบุ nutrition บน aw"/>
    <m/>
    <m/>
    <m/>
    <m/>
    <m/>
    <m/>
    <n v="0"/>
    <n v="896459"/>
    <n v="2015552"/>
    <n v="1281865"/>
    <m/>
    <m/>
    <m/>
    <m/>
    <m/>
    <m/>
    <m/>
    <m/>
    <n v="4193876"/>
  </r>
  <r>
    <n v="38"/>
    <x v="3"/>
    <x v="3"/>
    <s v="Q1"/>
    <x v="1"/>
    <n v="90106013"/>
    <s v="ไก่นุ่มหน้ากุ้ง(ผสมหมู)EZYGO67g,7-11คัพ"/>
    <n v="2"/>
    <n v="2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5-12-15T00:00:00"/>
    <d v="2026-02-04T00:00:00"/>
    <n v="51"/>
    <d v="2025-12-18T00:00:00"/>
    <n v="48"/>
    <n v="1"/>
    <m/>
    <n v="1"/>
    <s v="All Store"/>
    <n v="0"/>
    <m/>
    <n v="28.18"/>
    <m/>
    <n v="28.46"/>
    <n v="26.58"/>
    <n v="23.24"/>
    <m/>
    <m/>
    <m/>
    <m/>
    <m/>
    <m/>
    <m/>
    <m/>
    <n v="26.09333333333333"/>
    <n v="-2.086666666666666"/>
    <m/>
    <m/>
    <s v="ไม่ระบุ nutrition บน aw"/>
    <m/>
    <m/>
    <m/>
    <m/>
    <m/>
    <m/>
    <n v="0"/>
    <n v="3016074"/>
    <n v="1797353"/>
    <n v="778885"/>
    <m/>
    <m/>
    <m/>
    <m/>
    <m/>
    <m/>
    <m/>
    <m/>
    <n v="5592312"/>
  </r>
  <r>
    <n v="39"/>
    <x v="5"/>
    <x v="5"/>
    <s v="Q1"/>
    <x v="1"/>
    <n v="90138907"/>
    <s v="โอนิกิริไข่กุ้งมายองเนส 100 กรัม(LV2026)"/>
    <n v="1"/>
    <s v="ALL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6-01-15T00:00:00"/>
    <d v="2026-02-16T00:00:00"/>
    <n v="32"/>
    <d v="2026-02-02T00:00:00"/>
    <n v="14"/>
    <m/>
    <n v="1"/>
    <n v="1"/>
    <s v="All Store"/>
    <n v="0"/>
    <m/>
    <n v="47.01"/>
    <m/>
    <n v="52.09"/>
    <n v="51.76"/>
    <n v="50.64"/>
    <m/>
    <m/>
    <m/>
    <m/>
    <m/>
    <m/>
    <m/>
    <m/>
    <n v="51.49666666666667"/>
    <n v="4.486666666666672"/>
    <m/>
    <m/>
    <s v="ไม่ระบุ nutrition บน aw"/>
    <m/>
    <m/>
    <m/>
    <m/>
    <m/>
    <m/>
    <n v="0"/>
    <n v="12169381"/>
    <n v="29670444"/>
    <n v="29722494"/>
    <m/>
    <m/>
    <m/>
    <m/>
    <m/>
    <m/>
    <m/>
    <m/>
    <n v="71562319"/>
  </r>
  <r>
    <n v="40"/>
    <x v="3"/>
    <x v="6"/>
    <s v="Q1"/>
    <x v="1"/>
    <n v="90140505"/>
    <s v="Frozen Fully Steamed Gochujang Chicken Bun"/>
    <n v="1"/>
    <n v="2"/>
    <n v="0"/>
    <m/>
    <n v="100"/>
    <n v="0"/>
    <n v="1"/>
    <n v="1"/>
    <m/>
    <m/>
    <m/>
    <m/>
    <m/>
    <n v="1"/>
    <m/>
    <m/>
    <m/>
    <m/>
    <m/>
    <m/>
    <m/>
    <d v="2026-02-04T00:00:00"/>
    <d v="2025-10-03T00:00:00"/>
    <d v="2025-10-06T00:00:00"/>
    <d v="2026-01-07T00:00:00"/>
    <n v="96"/>
    <n v="54"/>
    <n v="42"/>
    <m/>
    <m/>
    <m/>
    <m/>
    <m/>
    <n v="1"/>
    <m/>
    <n v="1"/>
    <s v="ต่างประเทศ"/>
    <n v="0"/>
    <m/>
    <n v="55.84"/>
    <m/>
    <n v="62"/>
    <m/>
    <m/>
    <m/>
    <m/>
    <m/>
    <m/>
    <m/>
    <m/>
    <m/>
    <m/>
    <n v="62"/>
    <n v="6.159999999999997"/>
    <m/>
    <m/>
    <s v="ไม่ระบุ nutrition บน aw"/>
    <m/>
    <m/>
    <m/>
    <m/>
    <m/>
    <m/>
    <n v="0"/>
    <n v="3235200"/>
    <n v="0"/>
    <n v="0"/>
    <m/>
    <m/>
    <m/>
    <m/>
    <m/>
    <m/>
    <m/>
    <m/>
    <n v="3235200"/>
  </r>
  <r>
    <n v="41"/>
    <x v="3"/>
    <x v="6"/>
    <s v="Q1"/>
    <x v="1"/>
    <n v="90140506"/>
    <s v="Frozen Fully Steamed Chicken Gyoza"/>
    <n v="1"/>
    <n v="2"/>
    <n v="0"/>
    <m/>
    <n v="100"/>
    <n v="0"/>
    <n v="1"/>
    <n v="1"/>
    <m/>
    <m/>
    <m/>
    <m/>
    <m/>
    <n v="1"/>
    <m/>
    <m/>
    <m/>
    <m/>
    <m/>
    <m/>
    <m/>
    <d v="2026-02-04T00:00:00"/>
    <d v="2025-10-03T00:00:00"/>
    <d v="2025-10-06T00:00:00"/>
    <d v="2026-01-06T00:00:00"/>
    <n v="95"/>
    <n v="54"/>
    <n v="41"/>
    <m/>
    <m/>
    <m/>
    <m/>
    <m/>
    <n v="1"/>
    <m/>
    <n v="1"/>
    <s v="ต่างประเทศ"/>
    <n v="1"/>
    <s v="ราคา PKG LB สูงกว่าใบขอรหัส"/>
    <n v="57.69"/>
    <m/>
    <n v="51.43"/>
    <m/>
    <m/>
    <m/>
    <m/>
    <m/>
    <m/>
    <m/>
    <m/>
    <m/>
    <m/>
    <n v="51.43"/>
    <n v="-6.259999999999998"/>
    <m/>
    <m/>
    <s v="ไม่ระบุ nutrition บน aw"/>
    <m/>
    <m/>
    <m/>
    <m/>
    <m/>
    <m/>
    <n v="0"/>
    <n v="1290914"/>
    <n v="0"/>
    <n v="0"/>
    <m/>
    <m/>
    <m/>
    <m/>
    <m/>
    <m/>
    <m/>
    <m/>
    <n v="1290914"/>
  </r>
  <r>
    <n v="42"/>
    <x v="6"/>
    <x v="7"/>
    <s v="Q1"/>
    <x v="2"/>
    <n v="90139668"/>
    <s v="ข้าวกะเพรามังสวิรัติ 210 G IMP2026 CHB"/>
    <n v="1"/>
    <s v="CHB"/>
    <n v="1"/>
    <s v="แผนขายเดิม 21/10/2025 แผนขายใหม่ 26/2/2026 เนื่องจากลูกค้าเลื่อนขายให้ตรงกับวันมาฆบูชา"/>
    <n v="100"/>
    <n v="0"/>
    <n v="1"/>
    <n v="1"/>
    <m/>
    <m/>
    <m/>
    <m/>
    <m/>
    <n v="1"/>
    <m/>
    <m/>
    <m/>
    <m/>
    <m/>
    <m/>
    <m/>
    <m/>
    <m/>
    <m/>
    <m/>
    <n v="0"/>
    <m/>
    <n v="0"/>
    <d v="2025-08-25T00:00:00"/>
    <d v="2025-10-21T00:00:00"/>
    <n v="57"/>
    <d v="2025-08-29T00:00:00"/>
    <n v="53"/>
    <m/>
    <n v="1"/>
    <n v="1"/>
    <s v="All Store"/>
    <n v="0"/>
    <m/>
    <n v="35.45"/>
    <m/>
    <m/>
    <n v="35.51"/>
    <n v="34.14"/>
    <m/>
    <m/>
    <m/>
    <m/>
    <m/>
    <m/>
    <m/>
    <m/>
    <n v="34.825"/>
    <n v="-0.625"/>
    <m/>
    <m/>
    <n v="920"/>
    <n v="1"/>
    <m/>
    <m/>
    <m/>
    <m/>
    <m/>
    <n v="0"/>
    <n v="0"/>
    <n v="4619790"/>
    <n v="6089509"/>
    <m/>
    <m/>
    <m/>
    <m/>
    <m/>
    <m/>
    <m/>
    <m/>
    <n v="10709299"/>
  </r>
  <r>
    <n v="43"/>
    <x v="5"/>
    <x v="5"/>
    <s v="Q1"/>
    <x v="2"/>
    <n v="90138908"/>
    <s v="แคลิฟอร์เนียโรล 105 กรัม LV2026, Chilled"/>
    <n v="2"/>
    <s v="ALL"/>
    <n v="0"/>
    <m/>
    <n v="95"/>
    <n v="0"/>
    <n v="1"/>
    <m/>
    <n v="1"/>
    <m/>
    <m/>
    <m/>
    <m/>
    <n v="1"/>
    <m/>
    <m/>
    <m/>
    <m/>
    <m/>
    <m/>
    <m/>
    <m/>
    <m/>
    <m/>
    <m/>
    <n v="0"/>
    <m/>
    <n v="0"/>
    <d v="2026-02-09T00:00:00"/>
    <d v="2026-03-12T00:00:00"/>
    <n v="31"/>
    <d v="2026-02-25T00:00:00"/>
    <n v="15"/>
    <m/>
    <n v="1"/>
    <n v="1"/>
    <s v="All Store"/>
    <n v="0"/>
    <m/>
    <n v="31.92"/>
    <m/>
    <m/>
    <n v="33.18"/>
    <n v="31.7"/>
    <m/>
    <m/>
    <m/>
    <m/>
    <m/>
    <m/>
    <m/>
    <m/>
    <n v="32.44"/>
    <n v="0.519999999999996"/>
    <m/>
    <m/>
    <s v="ไม่ระบุ nutrition บน aw"/>
    <m/>
    <m/>
    <m/>
    <m/>
    <m/>
    <m/>
    <n v="0"/>
    <n v="0"/>
    <n v="5949100"/>
    <n v="9320202"/>
    <m/>
    <m/>
    <m/>
    <m/>
    <m/>
    <m/>
    <m/>
    <m/>
    <n v="15269302"/>
  </r>
  <r>
    <n v="44"/>
    <x v="5"/>
    <x v="5"/>
    <s v="Q1"/>
    <x v="2"/>
    <n v="90138909"/>
    <s v="ซูชิเซ็ท 155 กรัม LV2026, Chilled"/>
    <n v="2"/>
    <s v="ALL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6-03-02T00:00:00"/>
    <d v="2026-03-23T00:00:00"/>
    <n v="21"/>
    <d v="2026-03-17T00:00:00"/>
    <n v="6"/>
    <m/>
    <n v="1"/>
    <n v="1"/>
    <s v="All Store"/>
    <n v="0"/>
    <m/>
    <n v="28.6"/>
    <m/>
    <m/>
    <n v="31.71"/>
    <n v="32.82"/>
    <m/>
    <m/>
    <m/>
    <m/>
    <m/>
    <m/>
    <m/>
    <m/>
    <n v="32.265"/>
    <n v="3.664999999999999"/>
    <m/>
    <m/>
    <s v="ไม่ระบุ nutrition บน aw"/>
    <m/>
    <m/>
    <m/>
    <m/>
    <m/>
    <m/>
    <n v="0"/>
    <n v="0"/>
    <n v="3672908"/>
    <n v="13096653"/>
    <m/>
    <m/>
    <m/>
    <m/>
    <m/>
    <m/>
    <m/>
    <m/>
    <n v="16769561"/>
  </r>
  <r>
    <n v="45"/>
    <x v="3"/>
    <x v="3"/>
    <s v="Q1"/>
    <x v="2"/>
    <n v="90101430"/>
    <s v="ขนมจีบกุ้งและขนมจีบหมูไข่เค็มEZYGO112g"/>
    <n v="1"/>
    <n v="2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6-03-04T00:00:00"/>
    <d v="2026-03-25T00:00:00"/>
    <n v="21"/>
    <d v="2026-03-09T00:00:00"/>
    <n v="16"/>
    <n v="1"/>
    <m/>
    <n v="1"/>
    <s v="All Store"/>
    <n v="0"/>
    <m/>
    <n v="38.84"/>
    <m/>
    <m/>
    <n v="43.35"/>
    <n v="40.98"/>
    <m/>
    <m/>
    <m/>
    <m/>
    <m/>
    <m/>
    <m/>
    <m/>
    <n v="42.165"/>
    <n v="3.324999999999996"/>
    <m/>
    <m/>
    <s v="ไม่ระบุ nutrition บน aw"/>
    <m/>
    <m/>
    <m/>
    <m/>
    <m/>
    <m/>
    <n v="0"/>
    <n v="0"/>
    <n v="1381716"/>
    <n v="1887655"/>
    <m/>
    <m/>
    <m/>
    <m/>
    <m/>
    <m/>
    <m/>
    <m/>
    <n v="3269371"/>
  </r>
  <r>
    <n v="46"/>
    <x v="3"/>
    <x v="3"/>
    <s v="Q1"/>
    <x v="2"/>
    <n v="90101429"/>
    <s v="ขนมจีบหมูผสมไก่450g7-11 Frozen"/>
    <n v="2"/>
    <n v="2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6-01-22T00:00:00"/>
    <d v="2026-03-10T00:00:00"/>
    <n v="47"/>
    <d v="2026-01-30T00:00:00"/>
    <n v="39"/>
    <n v="1"/>
    <m/>
    <n v="1"/>
    <s v="All Store"/>
    <n v="0"/>
    <m/>
    <n v="40.85"/>
    <m/>
    <m/>
    <n v="53.59"/>
    <n v="52.18"/>
    <m/>
    <m/>
    <m/>
    <m/>
    <m/>
    <m/>
    <m/>
    <m/>
    <n v="52.88500000000001"/>
    <n v="12.035"/>
    <m/>
    <m/>
    <s v="ไม่ระบุ nutrition บน aw"/>
    <m/>
    <m/>
    <m/>
    <m/>
    <m/>
    <m/>
    <n v="0"/>
    <n v="0"/>
    <n v="2291201"/>
    <n v="1325912"/>
    <m/>
    <m/>
    <m/>
    <m/>
    <m/>
    <m/>
    <m/>
    <m/>
    <n v="3617113"/>
  </r>
  <r>
    <n v="47"/>
    <x v="3"/>
    <x v="3"/>
    <s v="Q1"/>
    <x v="2"/>
    <n v="90108284"/>
    <s v="แรบบิทฟักทอง ตรา อีซี่โก 50g,7-11"/>
    <n v="1"/>
    <n v="2"/>
    <n v="0"/>
    <m/>
    <n v="83.33"/>
    <n v="0.42"/>
    <n v="1"/>
    <n v="1"/>
    <m/>
    <m/>
    <m/>
    <m/>
    <m/>
    <n v="1"/>
    <m/>
    <m/>
    <m/>
    <m/>
    <m/>
    <m/>
    <m/>
    <m/>
    <m/>
    <m/>
    <m/>
    <n v="0"/>
    <m/>
    <n v="0"/>
    <d v="2026-02-06T00:00:00"/>
    <d v="2026-03-19T00:00:00"/>
    <n v="41"/>
    <d v="2026-02-13T00:00:00"/>
    <n v="34"/>
    <n v="1"/>
    <m/>
    <n v="1"/>
    <s v="All Store"/>
    <n v="0"/>
    <m/>
    <n v="36.99"/>
    <m/>
    <m/>
    <n v="45.43"/>
    <n v="47.8"/>
    <m/>
    <m/>
    <m/>
    <m/>
    <m/>
    <m/>
    <m/>
    <m/>
    <n v="46.61499999999999"/>
    <n v="9.624999999999993"/>
    <m/>
    <m/>
    <s v="ไม่ระบุ nutrition บน aw"/>
    <m/>
    <m/>
    <m/>
    <m/>
    <m/>
    <m/>
    <n v="0"/>
    <n v="0"/>
    <n v="735992"/>
    <n v="761235"/>
    <m/>
    <m/>
    <m/>
    <m/>
    <m/>
    <m/>
    <m/>
    <m/>
    <n v="1497227"/>
  </r>
  <r>
    <n v="48"/>
    <x v="0"/>
    <x v="0"/>
    <s v="Q1"/>
    <x v="2"/>
    <n v="90113366"/>
    <s v="BGข้าวเหนียวไก่ปลาร้า อีซี่โก 140g, 7-11"/>
    <m/>
    <n v="4"/>
    <n v="0"/>
    <m/>
    <n v="100"/>
    <n v="0.15"/>
    <n v="1"/>
    <n v="1"/>
    <n v="0"/>
    <n v="0"/>
    <m/>
    <m/>
    <m/>
    <n v="1"/>
    <n v="0"/>
    <n v="0"/>
    <m/>
    <m/>
    <m/>
    <m/>
    <m/>
    <m/>
    <m/>
    <m/>
    <m/>
    <n v="0"/>
    <m/>
    <n v="0"/>
    <d v="2026-03-02T00:00:00"/>
    <d v="2026-03-16T00:00:00"/>
    <n v="14"/>
    <d v="2026-03-06T00:00:00"/>
    <n v="10"/>
    <n v="1"/>
    <m/>
    <n v="1"/>
    <s v="All Store"/>
    <n v="1"/>
    <m/>
    <n v="31.11"/>
    <m/>
    <m/>
    <n v="28.1"/>
    <n v="30.63"/>
    <m/>
    <m/>
    <m/>
    <m/>
    <m/>
    <m/>
    <m/>
    <m/>
    <n v="29.365"/>
    <n v="-1.744999999999997"/>
    <m/>
    <m/>
    <n v="690"/>
    <n v="1"/>
    <m/>
    <m/>
    <m/>
    <m/>
    <m/>
    <n v="0"/>
    <n v="0"/>
    <n v="2511029"/>
    <n v="3623664"/>
    <m/>
    <m/>
    <m/>
    <m/>
    <m/>
    <m/>
    <m/>
    <m/>
    <n v="6134693"/>
  </r>
  <r>
    <n v="49"/>
    <x v="1"/>
    <x v="0"/>
    <s v="Q1"/>
    <x v="2"/>
    <n v="90113360"/>
    <s v="เบอร์เกอร์หมูชีสและแฮมEZYGO126g,7-11"/>
    <n v="2"/>
    <s v="2,KKN"/>
    <n v="0"/>
    <m/>
    <n v="100"/>
    <n v="0"/>
    <n v="1"/>
    <n v="1"/>
    <n v="0"/>
    <n v="0"/>
    <m/>
    <m/>
    <m/>
    <n v="1"/>
    <n v="0"/>
    <n v="0"/>
    <m/>
    <m/>
    <m/>
    <m/>
    <m/>
    <m/>
    <m/>
    <m/>
    <m/>
    <n v="0"/>
    <m/>
    <n v="0"/>
    <d v="2026-02-10T00:00:00"/>
    <d v="2026-03-02T00:00:00"/>
    <n v="20"/>
    <d v="2026-02-10T00:00:00"/>
    <n v="20"/>
    <n v="1"/>
    <m/>
    <n v="1"/>
    <s v="All Store"/>
    <n v="1"/>
    <m/>
    <n v="28.98"/>
    <m/>
    <m/>
    <n v="27.06"/>
    <n v="26.43"/>
    <m/>
    <m/>
    <m/>
    <m/>
    <m/>
    <m/>
    <m/>
    <m/>
    <n v="26.745"/>
    <n v="-2.235000000000003"/>
    <m/>
    <m/>
    <n v="750"/>
    <n v="1"/>
    <m/>
    <m/>
    <m/>
    <m/>
    <m/>
    <n v="0"/>
    <n v="0"/>
    <n v="3914350"/>
    <n v="2796272"/>
    <m/>
    <m/>
    <m/>
    <m/>
    <m/>
    <m/>
    <m/>
    <m/>
    <n v="6710622"/>
  </r>
  <r>
    <n v="50"/>
    <x v="1"/>
    <x v="0"/>
    <s v="Q1"/>
    <x v="2"/>
    <n v="90113362"/>
    <s v="BGกุ้งย่างและชีส(ผสมไก่)EZYGO115g,7-11"/>
    <n v="1"/>
    <s v="2,1"/>
    <n v="0"/>
    <m/>
    <n v="100"/>
    <n v="0"/>
    <n v="1"/>
    <n v="0"/>
    <n v="0"/>
    <n v="1"/>
    <s v="กระบวนการไม่ผ่าน (ผลิต)"/>
    <m/>
    <s v="สายพานหนีบไส้"/>
    <n v="1"/>
    <n v="0"/>
    <n v="0"/>
    <m/>
    <m/>
    <m/>
    <m/>
    <m/>
    <m/>
    <m/>
    <m/>
    <m/>
    <n v="0"/>
    <m/>
    <n v="0"/>
    <d v="2026-02-18T00:00:00"/>
    <d v="2026-03-09T00:00:00"/>
    <n v="19"/>
    <d v="2026-02-20T00:00:00"/>
    <n v="17"/>
    <n v="1"/>
    <m/>
    <n v="1"/>
    <s v="All Store"/>
    <n v="0"/>
    <m/>
    <n v="32.57"/>
    <m/>
    <m/>
    <n v="35.17"/>
    <n v="33.9"/>
    <m/>
    <m/>
    <m/>
    <m/>
    <m/>
    <m/>
    <m/>
    <m/>
    <n v="34.535"/>
    <n v="1.964999999999996"/>
    <m/>
    <m/>
    <n v="950"/>
    <n v="1"/>
    <m/>
    <m/>
    <m/>
    <m/>
    <m/>
    <n v="0"/>
    <n v="0"/>
    <n v="2619028"/>
    <n v="2429581"/>
    <m/>
    <m/>
    <m/>
    <m/>
    <m/>
    <m/>
    <m/>
    <m/>
    <n v="5048609"/>
  </r>
  <r>
    <n v="51"/>
    <x v="1"/>
    <x v="0"/>
    <s v="Q1"/>
    <x v="2"/>
    <n v="90113363"/>
    <s v="เบอร์เกอร์ไก่ทอดชีสEZYGO143g,7-11"/>
    <n v="1"/>
    <n v="1"/>
    <n v="0"/>
    <m/>
    <n v="100"/>
    <n v="0.16"/>
    <n v="1"/>
    <n v="1"/>
    <n v="0"/>
    <n v="0"/>
    <m/>
    <m/>
    <m/>
    <n v="1"/>
    <n v="0"/>
    <n v="0"/>
    <m/>
    <m/>
    <m/>
    <m/>
    <m/>
    <m/>
    <m/>
    <m/>
    <m/>
    <n v="0"/>
    <m/>
    <n v="0"/>
    <d v="2026-03-04T00:00:00"/>
    <d v="2026-03-31T00:00:00"/>
    <n v="27"/>
    <d v="2026-03-09T00:00:00"/>
    <n v="22"/>
    <n v="1"/>
    <m/>
    <n v="1"/>
    <s v="All Store"/>
    <n v="1"/>
    <m/>
    <n v="26.97"/>
    <m/>
    <m/>
    <n v="25.16"/>
    <n v="24.81"/>
    <m/>
    <m/>
    <m/>
    <m/>
    <m/>
    <m/>
    <m/>
    <m/>
    <n v="24.985"/>
    <n v="-1.984999999999999"/>
    <m/>
    <m/>
    <n v="900"/>
    <n v="1"/>
    <m/>
    <m/>
    <m/>
    <m/>
    <m/>
    <n v="0"/>
    <n v="0"/>
    <n v="571542"/>
    <n v="3056553"/>
    <m/>
    <m/>
    <m/>
    <m/>
    <m/>
    <m/>
    <m/>
    <m/>
    <n v="3628095"/>
  </r>
  <r>
    <n v="52"/>
    <x v="0"/>
    <x v="0"/>
    <s v="Q1"/>
    <x v="2"/>
    <n v="90113359"/>
    <s v="เจ๊แดงBGข้าวเหนียวหมูน้ำตก141gIMP26,7-11"/>
    <n v="1"/>
    <n v="4"/>
    <n v="0"/>
    <m/>
    <n v="100"/>
    <n v="0.1"/>
    <n v="1"/>
    <n v="1"/>
    <n v="0"/>
    <n v="0"/>
    <m/>
    <m/>
    <m/>
    <n v="1"/>
    <n v="0"/>
    <n v="0"/>
    <m/>
    <m/>
    <m/>
    <m/>
    <m/>
    <m/>
    <m/>
    <m/>
    <m/>
    <n v="0"/>
    <m/>
    <n v="0"/>
    <d v="2026-01-29T00:00:00"/>
    <d v="2026-03-01T00:00:00"/>
    <n v="31"/>
    <d v="2026-02-02T00:00:00"/>
    <n v="27"/>
    <m/>
    <n v="1"/>
    <n v="1"/>
    <s v="All Store"/>
    <n v="0"/>
    <m/>
    <n v="41"/>
    <m/>
    <m/>
    <n v="58.83"/>
    <n v="62.95"/>
    <m/>
    <m/>
    <m/>
    <m/>
    <m/>
    <m/>
    <m/>
    <m/>
    <n v="60.89"/>
    <n v="19.89"/>
    <m/>
    <m/>
    <n v="510"/>
    <n v="1"/>
    <m/>
    <m/>
    <m/>
    <m/>
    <m/>
    <n v="0"/>
    <n v="-237"/>
    <n v="2784168"/>
    <n v="2185825"/>
    <m/>
    <m/>
    <m/>
    <m/>
    <m/>
    <m/>
    <m/>
    <m/>
    <n v="4969756"/>
  </r>
  <r>
    <n v="53"/>
    <x v="1"/>
    <x v="0"/>
    <s v="Q1"/>
    <x v="2"/>
    <n v="90113361"/>
    <s v="เบอร์เกอร์กุ้งEZYGO93g,7-11IMP2026"/>
    <n v="1"/>
    <s v="all bu"/>
    <n v="0"/>
    <m/>
    <n v="100"/>
    <n v="0.1"/>
    <n v="1"/>
    <n v="1"/>
    <n v="0"/>
    <n v="0"/>
    <m/>
    <m/>
    <m/>
    <n v="0"/>
    <n v="0"/>
    <n v="1"/>
    <s v="กระบวนการไม่ผ่าน (ผลิต)"/>
    <s v="Machine"/>
    <s v="center seal ไส้ wip ไม่แน่น"/>
    <s v="ไม่เข้าซ้ำ"/>
    <m/>
    <m/>
    <m/>
    <m/>
    <m/>
    <n v="0"/>
    <m/>
    <n v="0"/>
    <d v="2026-02-11T00:00:00"/>
    <d v="2026-03-22T00:00:00"/>
    <n v="39"/>
    <d v="2026-02-25T00:00:00"/>
    <n v="25"/>
    <m/>
    <n v="1"/>
    <n v="1"/>
    <s v="All Store"/>
    <n v="0"/>
    <m/>
    <n v="28.57"/>
    <m/>
    <m/>
    <n v="29.25"/>
    <n v="26.99"/>
    <m/>
    <m/>
    <m/>
    <m/>
    <m/>
    <m/>
    <m/>
    <m/>
    <n v="28.12"/>
    <n v="-0.4500000000000028"/>
    <m/>
    <m/>
    <n v="580"/>
    <n v="1"/>
    <m/>
    <m/>
    <m/>
    <m/>
    <m/>
    <n v="0"/>
    <n v="0"/>
    <n v="5433350"/>
    <n v="19814185"/>
    <m/>
    <m/>
    <m/>
    <m/>
    <m/>
    <m/>
    <m/>
    <m/>
    <n v="25247535"/>
  </r>
  <r>
    <n v="54"/>
    <x v="0"/>
    <x v="8"/>
    <s v="Q1"/>
    <x v="2"/>
    <n v="90138912"/>
    <s v="ข้าวเหนียวหมูทอดอีซี่โก125gIMP26,7-11"/>
    <n v="1"/>
    <s v="all bu"/>
    <n v="0"/>
    <m/>
    <n v="100"/>
    <n v="0"/>
    <n v="1"/>
    <n v="1"/>
    <n v="0"/>
    <n v="0"/>
    <m/>
    <m/>
    <m/>
    <n v="0"/>
    <n v="1"/>
    <n v="0"/>
    <m/>
    <m/>
    <m/>
    <m/>
    <m/>
    <m/>
    <m/>
    <m/>
    <m/>
    <n v="0"/>
    <m/>
    <n v="0"/>
    <d v="2026-02-18T00:00:00"/>
    <d v="2026-03-05T00:00:00"/>
    <n v="15"/>
    <d v="2026-02-19T00:00:00"/>
    <n v="14"/>
    <m/>
    <n v="1"/>
    <n v="1"/>
    <s v="All Store"/>
    <n v="0"/>
    <m/>
    <n v="39.55"/>
    <m/>
    <m/>
    <n v="45.23"/>
    <n v="38.66"/>
    <m/>
    <m/>
    <m/>
    <m/>
    <m/>
    <m/>
    <m/>
    <m/>
    <n v="41.94499999999999"/>
    <n v="2.394999999999996"/>
    <m/>
    <m/>
    <n v="440"/>
    <n v="1"/>
    <m/>
    <m/>
    <m/>
    <m/>
    <m/>
    <n v="0"/>
    <n v="0"/>
    <n v="12706191"/>
    <n v="16277561"/>
    <m/>
    <m/>
    <m/>
    <m/>
    <m/>
    <m/>
    <m/>
    <m/>
    <n v="28983752"/>
  </r>
  <r>
    <n v="55"/>
    <x v="3"/>
    <x v="6"/>
    <s v="Q1"/>
    <x v="2"/>
    <n v="90140511"/>
    <s v="Frozen Fully Steamed Pork Bun (Conan) 100 g"/>
    <n v="1"/>
    <n v="2"/>
    <n v="0"/>
    <m/>
    <n v="87.5"/>
    <n v="1.33"/>
    <n v="1"/>
    <n v="1"/>
    <n v="0"/>
    <m/>
    <m/>
    <m/>
    <m/>
    <n v="1"/>
    <m/>
    <m/>
    <m/>
    <m/>
    <m/>
    <m/>
    <m/>
    <d v="2026-03-20T00:00:00"/>
    <d v="2026-01-13T00:00:00"/>
    <d v="2026-01-23T00:00:00"/>
    <d v="2026-03-06T00:00:00"/>
    <n v="52"/>
    <m/>
    <n v="52"/>
    <m/>
    <m/>
    <m/>
    <m/>
    <m/>
    <n v="1"/>
    <m/>
    <n v="1"/>
    <s v="ต่างประเทศ"/>
    <n v="0"/>
    <m/>
    <n v="55.97"/>
    <m/>
    <m/>
    <n v="58.13"/>
    <m/>
    <m/>
    <m/>
    <m/>
    <m/>
    <m/>
    <m/>
    <m/>
    <m/>
    <n v="58.13"/>
    <n v="2.160000000000004"/>
    <m/>
    <m/>
    <s v="ไม่ระบุ nutrition บน aw"/>
    <m/>
    <m/>
    <m/>
    <m/>
    <m/>
    <m/>
    <n v="0"/>
    <n v="0"/>
    <n v="896334"/>
    <n v="0"/>
    <m/>
    <m/>
    <m/>
    <m/>
    <m/>
    <m/>
    <m/>
    <m/>
    <n v="896334"/>
  </r>
  <r>
    <n v="56"/>
    <x v="7"/>
    <x v="7"/>
    <s v="Q1"/>
    <x v="2"/>
    <n v="90139644"/>
    <s v="แจ่วฮ้อนหม่ำแซ่บ 170 g (ซุปเข้มข้น)"/>
    <n v="8"/>
    <n v="1"/>
    <n v="0"/>
    <m/>
    <n v="100"/>
    <n v="0"/>
    <n v="1"/>
    <n v="1"/>
    <m/>
    <m/>
    <m/>
    <m/>
    <m/>
    <m/>
    <m/>
    <n v="1"/>
    <s v="กระบวนการไม่ผ่าน (ผลิต)"/>
    <s v="Machine"/>
    <s v="เครื่องจักรไม่ได้ตามมาตรฐาน"/>
    <s v="เข้าซ้ำ"/>
    <m/>
    <m/>
    <m/>
    <m/>
    <m/>
    <n v="0"/>
    <m/>
    <n v="0"/>
    <d v="2026-01-13T00:00:00"/>
    <d v="2026-03-26T00:00:00"/>
    <n v="72"/>
    <d v="2026-02-03T00:00:00"/>
    <n v="51"/>
    <m/>
    <n v="1"/>
    <n v="1"/>
    <s v="All Store"/>
    <n v="1"/>
    <s v="RM. LB cost สูงกว่าขอรหัส"/>
    <n v="35"/>
    <m/>
    <m/>
    <n v="30.71"/>
    <n v="30.46"/>
    <m/>
    <m/>
    <m/>
    <m/>
    <m/>
    <m/>
    <m/>
    <m/>
    <n v="30.585"/>
    <n v="-4.414999999999999"/>
    <m/>
    <m/>
    <n v="1560"/>
    <m/>
    <m/>
    <m/>
    <m/>
    <m/>
    <m/>
    <n v="0"/>
    <n v="0"/>
    <n v="3259764"/>
    <n v="4779534"/>
    <m/>
    <m/>
    <m/>
    <m/>
    <m/>
    <m/>
    <m/>
    <m/>
    <n v="8039298"/>
  </r>
  <r>
    <n v="57"/>
    <x v="7"/>
    <x v="5"/>
    <s v="Q1"/>
    <x v="2"/>
    <n v="90138910"/>
    <s v="ผัดซีอิ๊วหมู 250g. LV 2026  "/>
    <m/>
    <n v="4"/>
    <n v="0"/>
    <m/>
    <n v="100"/>
    <n v="0"/>
    <n v="1"/>
    <m/>
    <m/>
    <m/>
    <m/>
    <m/>
    <m/>
    <n v="0"/>
    <m/>
    <m/>
    <m/>
    <m/>
    <m/>
    <m/>
    <m/>
    <m/>
    <m/>
    <m/>
    <m/>
    <n v="0"/>
    <m/>
    <n v="0"/>
    <d v="2026-02-10T00:00:00"/>
    <d v="2026-03-12T00:00:00"/>
    <n v="30"/>
    <d v="2026-02-19T00:00:00"/>
    <n v="21"/>
    <m/>
    <n v="1"/>
    <n v="1"/>
    <s v="All Store"/>
    <n v="0"/>
    <m/>
    <n v="31.34"/>
    <m/>
    <m/>
    <n v="35.32"/>
    <n v="34.68"/>
    <m/>
    <m/>
    <m/>
    <m/>
    <m/>
    <m/>
    <m/>
    <m/>
    <n v="35"/>
    <n v="3.66"/>
    <m/>
    <m/>
    <n v="1390"/>
    <m/>
    <m/>
    <m/>
    <m/>
    <m/>
    <m/>
    <n v="0"/>
    <n v="0"/>
    <n v="26566532"/>
    <n v="43371499"/>
    <m/>
    <m/>
    <m/>
    <m/>
    <m/>
    <m/>
    <m/>
    <m/>
    <n v="69938031"/>
  </r>
  <r>
    <n v="58"/>
    <x v="7"/>
    <x v="7"/>
    <s v="Q1"/>
    <x v="2"/>
    <n v="90139688"/>
    <s v="ขนมจีนน้ำยาป่าลูกชิ้นปลา 285 กรัม IMP2026 "/>
    <m/>
    <n v="1"/>
    <n v="0"/>
    <m/>
    <n v="100"/>
    <n v="0"/>
    <n v="1"/>
    <m/>
    <m/>
    <m/>
    <m/>
    <m/>
    <m/>
    <n v="0"/>
    <m/>
    <m/>
    <m/>
    <m/>
    <m/>
    <m/>
    <m/>
    <m/>
    <m/>
    <m/>
    <m/>
    <n v="0"/>
    <m/>
    <n v="0"/>
    <d v="2026-01-12T00:00:00"/>
    <d v="2026-03-19T00:00:00"/>
    <n v="66"/>
    <d v="2026-01-22T00:00:00"/>
    <n v="56"/>
    <m/>
    <n v="1"/>
    <n v="1"/>
    <s v="All Store"/>
    <n v="0"/>
    <m/>
    <n v="14.3"/>
    <m/>
    <m/>
    <n v="20.67"/>
    <n v="20.46"/>
    <m/>
    <m/>
    <m/>
    <m/>
    <m/>
    <m/>
    <m/>
    <m/>
    <n v="20.565"/>
    <n v="6.265000000000001"/>
    <m/>
    <m/>
    <n v="1350"/>
    <m/>
    <m/>
    <m/>
    <m/>
    <m/>
    <m/>
    <n v="0"/>
    <n v="0"/>
    <n v="2370986"/>
    <n v="3259591"/>
    <m/>
    <m/>
    <m/>
    <m/>
    <m/>
    <m/>
    <m/>
    <m/>
    <n v="5630577"/>
  </r>
  <r>
    <n v="59"/>
    <x v="8"/>
    <x v="7"/>
    <s v="Q1"/>
    <x v="2"/>
    <n v="90139639"/>
    <s v="เกี๊ยวน้ำหมู 190 กรัม IMP2025, Frozen"/>
    <m/>
    <n v="1"/>
    <n v="0"/>
    <m/>
    <n v="100"/>
    <n v="0"/>
    <n v="1"/>
    <m/>
    <m/>
    <m/>
    <m/>
    <m/>
    <m/>
    <m/>
    <n v="1"/>
    <m/>
    <s v="สินค้าไม่ผ่าน"/>
    <s v="Material"/>
    <s v="เฉดสีฟักทองอ่อน_x000a_กว่ามาตรฐาน ทำให้สีของสินค้าอ่อนกว่ามาตรฐาน"/>
    <m/>
    <m/>
    <m/>
    <m/>
    <m/>
    <m/>
    <n v="0"/>
    <m/>
    <n v="0"/>
    <d v="2025-02-18T00:00:00"/>
    <d v="2025-06-19T00:00:00"/>
    <n v="121"/>
    <d v="2025-03-26T00:00:00"/>
    <n v="85"/>
    <m/>
    <n v="1"/>
    <n v="1"/>
    <s v="All Store"/>
    <n v="0"/>
    <m/>
    <n v="30.84"/>
    <m/>
    <m/>
    <n v="44.44"/>
    <n v="43.96"/>
    <m/>
    <m/>
    <m/>
    <m/>
    <m/>
    <m/>
    <m/>
    <m/>
    <n v="44.2"/>
    <n v="13.36"/>
    <m/>
    <m/>
    <n v="1310"/>
    <m/>
    <m/>
    <m/>
    <m/>
    <m/>
    <m/>
    <n v="0"/>
    <n v="0"/>
    <n v="5400626"/>
    <n v="10028358"/>
    <m/>
    <m/>
    <m/>
    <m/>
    <m/>
    <m/>
    <m/>
    <m/>
    <n v="15428984"/>
  </r>
  <r>
    <n v="60"/>
    <x v="8"/>
    <x v="9"/>
    <s v="Q1"/>
    <x v="2"/>
    <n v="90139672"/>
    <s v="สปาเก็ตตี้ไส้กรอกผัดพริกแห้ง, เดลิกาเซีย"/>
    <n v="2"/>
    <n v="1"/>
    <n v="0"/>
    <m/>
    <n v="100"/>
    <n v="0"/>
    <n v="1"/>
    <m/>
    <m/>
    <m/>
    <m/>
    <m/>
    <m/>
    <n v="0"/>
    <m/>
    <m/>
    <m/>
    <m/>
    <m/>
    <m/>
    <m/>
    <m/>
    <m/>
    <m/>
    <m/>
    <n v="0"/>
    <m/>
    <n v="0"/>
    <d v="2025-10-03T00:00:00"/>
    <d v="2025-11-03T00:00:00"/>
    <n v="31"/>
    <d v="2025-10-11T00:00:00"/>
    <n v="23"/>
    <n v="1"/>
    <m/>
    <n v="1"/>
    <m/>
    <n v="0"/>
    <m/>
    <n v="50.28"/>
    <m/>
    <m/>
    <n v="59.51"/>
    <n v="59.22"/>
    <m/>
    <m/>
    <m/>
    <m/>
    <m/>
    <m/>
    <m/>
    <m/>
    <n v="59.36499999999999"/>
    <n v="9.084999999999994"/>
    <m/>
    <m/>
    <s v="ไม่ระบุ nutrition บน aw"/>
    <m/>
    <m/>
    <m/>
    <m/>
    <m/>
    <m/>
    <n v="0"/>
    <n v="0"/>
    <n v="3600"/>
    <n v="56400"/>
    <m/>
    <m/>
    <m/>
    <m/>
    <m/>
    <m/>
    <m/>
    <m/>
    <n v="60000"/>
  </r>
  <r>
    <n v="61"/>
    <x v="5"/>
    <x v="5"/>
    <s v="Q1"/>
    <x v="2"/>
    <n v="90138877"/>
    <s v="สาหร่ายวากาเมะน้ำมันงา 55 กรัม, Chilled"/>
    <n v="2"/>
    <s v="ALL"/>
    <n v="1"/>
    <s v="เลื่อนจาก 27/11/2025 เนื่องจาก RM สำหร่ายวากาเมะไม่ผ่าน"/>
    <n v="100"/>
    <n v="0"/>
    <n v="1"/>
    <m/>
    <n v="1"/>
    <m/>
    <m/>
    <m/>
    <m/>
    <n v="1"/>
    <m/>
    <m/>
    <m/>
    <m/>
    <m/>
    <m/>
    <m/>
    <m/>
    <m/>
    <m/>
    <m/>
    <n v="0"/>
    <m/>
    <n v="0"/>
    <d v="2025-10-08T00:00:00"/>
    <d v="2026-03-05T00:00:00"/>
    <n v="103"/>
    <d v="2025-11-07T00:00:00"/>
    <n v="73"/>
    <n v="1"/>
    <m/>
    <n v="1"/>
    <s v="All Store"/>
    <n v="0"/>
    <m/>
    <n v="30.79"/>
    <m/>
    <m/>
    <n v="31.46"/>
    <n v="29.39"/>
    <m/>
    <m/>
    <m/>
    <m/>
    <m/>
    <m/>
    <m/>
    <m/>
    <n v="30.425"/>
    <n v="-0.3649999999999984"/>
    <m/>
    <m/>
    <s v="ไม่ระบุ nutrition บน aw"/>
    <m/>
    <m/>
    <m/>
    <m/>
    <m/>
    <m/>
    <n v="0"/>
    <n v="0"/>
    <n v="8482102"/>
    <n v="8820224"/>
    <m/>
    <m/>
    <m/>
    <m/>
    <m/>
    <m/>
    <m/>
    <m/>
    <n v="17302326"/>
  </r>
  <r>
    <n v="62"/>
    <x v="6"/>
    <x v="7"/>
    <s v="Q2"/>
    <x v="3"/>
    <n v="90139693"/>
    <s v="ข้าวไก่ย่างปลาร้าซอสจิ้มแจ่ว300g,IMP26"/>
    <n v="5"/>
    <n v="3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6-02-25T00:00:00"/>
    <d v="2026-03-30T00:00:00"/>
    <n v="33"/>
    <d v="2026-03-05T00:00:00"/>
    <n v="25"/>
    <m/>
    <n v="1"/>
    <n v="1"/>
    <s v="All Store"/>
    <m/>
    <s v="ราคา RM LB Cost สูงกว่าใบขอรหัส"/>
    <n v="24.25"/>
    <m/>
    <m/>
    <m/>
    <n v="21.31"/>
    <m/>
    <m/>
    <m/>
    <m/>
    <m/>
    <m/>
    <m/>
    <m/>
    <n v="21.31"/>
    <n v="-2.940000000000001"/>
    <m/>
    <m/>
    <n v="1370"/>
    <m/>
    <m/>
    <m/>
    <m/>
    <m/>
    <m/>
    <n v="0"/>
    <n v="0"/>
    <n v="2243955"/>
    <n v="3492065"/>
    <m/>
    <m/>
    <m/>
    <m/>
    <m/>
    <m/>
    <m/>
    <m/>
    <n v="5736020"/>
  </r>
  <r>
    <n v="63"/>
    <x v="4"/>
    <x v="7"/>
    <s v="Q2"/>
    <x v="3"/>
    <n v="90139694"/>
    <s v="ซุปผักสไตล์ลาว 160 กรัม, Frozen"/>
    <n v="4"/>
    <n v="3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6-02-11T00:00:00"/>
    <d v="2026-04-06T00:00:00"/>
    <n v="54"/>
    <d v="2026-03-05T00:00:00"/>
    <n v="32"/>
    <n v="1"/>
    <m/>
    <n v="1"/>
    <s v="All Store"/>
    <n v="1"/>
    <s v="ราคา RM LB Cost สูงกว่าใบขอรหัส"/>
    <n v="39.05"/>
    <m/>
    <m/>
    <m/>
    <n v="36.62"/>
    <m/>
    <m/>
    <m/>
    <m/>
    <m/>
    <m/>
    <m/>
    <m/>
    <n v="36.62"/>
    <n v="-2.43"/>
    <m/>
    <m/>
    <s v="ไม่ระบุ nutrition บน aw"/>
    <m/>
    <m/>
    <m/>
    <m/>
    <m/>
    <m/>
    <n v="0"/>
    <n v="0"/>
    <n v="0"/>
    <n v="8669782"/>
    <m/>
    <m/>
    <m/>
    <m/>
    <m/>
    <m/>
    <m/>
    <m/>
    <n v="8669782"/>
  </r>
  <r>
    <n v="64"/>
    <x v="6"/>
    <x v="7"/>
    <s v="Q2"/>
    <x v="3"/>
    <n v="90139690"/>
    <s v="ข้าวกะเพราหมู 215 กรัม IMP2026"/>
    <n v="5"/>
    <s v="CHB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5-12-23T00:00:00"/>
    <d v="2026-04-06T00:00:00"/>
    <n v="104"/>
    <d v="2026-02-14T00:00:00"/>
    <n v="51"/>
    <m/>
    <n v="1"/>
    <n v="1"/>
    <s v="All Store"/>
    <m/>
    <m/>
    <n v="35.22"/>
    <m/>
    <m/>
    <m/>
    <n v="42.1"/>
    <m/>
    <m/>
    <m/>
    <m/>
    <m/>
    <m/>
    <m/>
    <m/>
    <n v="42.1"/>
    <n v="6.880000000000003"/>
    <m/>
    <m/>
    <n v="500"/>
    <n v="1"/>
    <m/>
    <m/>
    <m/>
    <m/>
    <m/>
    <n v="0"/>
    <n v="0"/>
    <n v="0"/>
    <n v="18582372"/>
    <m/>
    <m/>
    <m/>
    <m/>
    <m/>
    <m/>
    <m/>
    <m/>
    <n v="18582372"/>
  </r>
  <r>
    <n v="65"/>
    <x v="0"/>
    <x v="0"/>
    <s v="Q2"/>
    <x v="3"/>
    <s v="90113364"/>
    <s v="BGข้าวเหนียวแหนมหมูทอด138g7-11"/>
    <n v="2"/>
    <s v="LPN"/>
    <n v="0"/>
    <m/>
    <n v="100"/>
    <n v="0"/>
    <n v="1"/>
    <n v="1"/>
    <n v="0"/>
    <n v="0"/>
    <m/>
    <m/>
    <m/>
    <n v="1"/>
    <n v="0"/>
    <n v="0"/>
    <m/>
    <m/>
    <m/>
    <m/>
    <m/>
    <m/>
    <m/>
    <m/>
    <m/>
    <n v="0"/>
    <m/>
    <n v="0"/>
    <d v="2026-03-14T00:00:00"/>
    <d v="2026-04-06T00:00:00"/>
    <n v="23"/>
    <d v="2026-03-16T00:00:00"/>
    <n v="21"/>
    <n v="1"/>
    <m/>
    <n v="1"/>
    <s v="All Store"/>
    <n v="0"/>
    <m/>
    <n v="47.45"/>
    <m/>
    <m/>
    <m/>
    <n v="39.77"/>
    <m/>
    <m/>
    <m/>
    <m/>
    <m/>
    <m/>
    <m/>
    <m/>
    <n v="39.77"/>
    <n v="-7.68"/>
    <m/>
    <m/>
    <n v="520"/>
    <n v="1"/>
    <m/>
    <m/>
    <m/>
    <m/>
    <m/>
    <n v="0"/>
    <n v="0"/>
    <n v="0"/>
    <n v="3584141"/>
    <m/>
    <m/>
    <m/>
    <m/>
    <m/>
    <m/>
    <m/>
    <m/>
    <n v="3584141"/>
  </r>
  <r>
    <n v="66"/>
    <x v="1"/>
    <x v="0"/>
    <s v="Q2"/>
    <x v="3"/>
    <s v="90113365"/>
    <s v="BGหมูทอดทงคัตสึและชีสEZYGO121g,7-11"/>
    <n v="3"/>
    <n v="1"/>
    <n v="0"/>
    <m/>
    <n v="90.5"/>
    <n v="0.1"/>
    <n v="1"/>
    <n v="1"/>
    <n v="0"/>
    <n v="0"/>
    <m/>
    <m/>
    <m/>
    <n v="1"/>
    <n v="0"/>
    <n v="0"/>
    <m/>
    <m/>
    <m/>
    <m/>
    <m/>
    <m/>
    <m/>
    <m/>
    <m/>
    <n v="0"/>
    <m/>
    <n v="0"/>
    <d v="2026-03-09T00:00:00"/>
    <d v="2026-04-20T00:00:00"/>
    <n v="42"/>
    <d v="2026-03-18T00:00:00"/>
    <n v="33"/>
    <n v="1"/>
    <m/>
    <n v="1"/>
    <s v="All Store"/>
    <n v="1"/>
    <m/>
    <n v="33.98"/>
    <m/>
    <m/>
    <m/>
    <n v="32.41"/>
    <m/>
    <m/>
    <m/>
    <m/>
    <m/>
    <m/>
    <m/>
    <m/>
    <n v="32.41"/>
    <n v="-1.57"/>
    <m/>
    <m/>
    <n v="870"/>
    <n v="1"/>
    <m/>
    <m/>
    <m/>
    <m/>
    <m/>
    <n v="0"/>
    <n v="0"/>
    <n v="0"/>
    <n v="2837105"/>
    <m/>
    <m/>
    <m/>
    <m/>
    <m/>
    <m/>
    <m/>
    <m/>
    <n v="2837105"/>
  </r>
  <r>
    <n v="67"/>
    <x v="1"/>
    <x v="2"/>
    <s v="Q2"/>
    <x v="3"/>
    <s v="90138915"/>
    <s v="ไก่ย่างสูตรเผ็ดเดลิกาเซียเชสเตอร์90g7-11"/>
    <n v="1"/>
    <n v="1"/>
    <n v="0"/>
    <m/>
    <n v="90"/>
    <n v="0.23"/>
    <n v="1"/>
    <n v="0"/>
    <n v="0"/>
    <n v="1"/>
    <s v="สินค้าไม่ผ่าน"/>
    <m/>
    <s v="รสชาติ"/>
    <n v="1"/>
    <n v="0"/>
    <n v="0"/>
    <m/>
    <m/>
    <m/>
    <m/>
    <m/>
    <m/>
    <m/>
    <m/>
    <m/>
    <n v="0"/>
    <m/>
    <n v="0"/>
    <d v="2026-03-13T00:00:00"/>
    <d v="2026-04-27T00:00:00"/>
    <n v="45"/>
    <d v="2026-03-19T00:00:00"/>
    <n v="39"/>
    <n v="1"/>
    <m/>
    <n v="1"/>
    <s v="All Store"/>
    <n v="0"/>
    <m/>
    <n v="17.15"/>
    <m/>
    <m/>
    <m/>
    <n v="24.35"/>
    <m/>
    <m/>
    <m/>
    <m/>
    <m/>
    <m/>
    <m/>
    <m/>
    <n v="24.35"/>
    <n v="7.200000000000003"/>
    <m/>
    <m/>
    <s v="ไม่ระบุ nutrition บน aw"/>
    <m/>
    <m/>
    <m/>
    <m/>
    <m/>
    <m/>
    <n v="0"/>
    <n v="0"/>
    <n v="0"/>
    <n v="1856108"/>
    <m/>
    <m/>
    <m/>
    <m/>
    <m/>
    <m/>
    <m/>
    <m/>
    <n v="1856108"/>
  </r>
  <r>
    <n v="68"/>
    <x v="1"/>
    <x v="0"/>
    <s v="Q2"/>
    <x v="3"/>
    <s v="90113355"/>
    <s v="ดับเบิ้ลชีสเบอร์เกอร์หมูEZYGO131g,IMP26"/>
    <n v="1"/>
    <s v="2,1"/>
    <n v="0"/>
    <m/>
    <n v="100"/>
    <n v="0"/>
    <n v="1"/>
    <n v="1"/>
    <n v="0"/>
    <n v="0"/>
    <m/>
    <m/>
    <m/>
    <n v="1"/>
    <n v="0"/>
    <n v="0"/>
    <m/>
    <m/>
    <m/>
    <m/>
    <m/>
    <m/>
    <m/>
    <m/>
    <m/>
    <n v="0"/>
    <m/>
    <n v="0"/>
    <d v="2025-12-20T00:00:00"/>
    <d v="2026-02-08T00:00:00"/>
    <n v="50"/>
    <d v="2026-01-06T00:00:00"/>
    <n v="33"/>
    <m/>
    <n v="1"/>
    <n v="1"/>
    <s v="All Store"/>
    <m/>
    <m/>
    <n v="15.93"/>
    <m/>
    <m/>
    <m/>
    <n v="24.88"/>
    <m/>
    <m/>
    <m/>
    <m/>
    <m/>
    <m/>
    <m/>
    <m/>
    <n v="24.88"/>
    <n v="8.949999999999999"/>
    <m/>
    <m/>
    <n v="930"/>
    <n v="1"/>
    <m/>
    <m/>
    <m/>
    <m/>
    <m/>
    <n v="0"/>
    <n v="0"/>
    <n v="0"/>
    <n v="7399346"/>
    <m/>
    <m/>
    <m/>
    <m/>
    <m/>
    <m/>
    <m/>
    <m/>
    <n v="7399346"/>
  </r>
  <r>
    <n v="69"/>
    <x v="0"/>
    <x v="0"/>
    <s v="Q2"/>
    <x v="3"/>
    <s v="90113367"/>
    <s v="BGข้าวเหนียวจัมโบ้หมูปิ้ง180gIMP26,7-11"/>
    <n v="1"/>
    <s v="2,4"/>
    <n v="0"/>
    <m/>
    <n v="100"/>
    <n v="0"/>
    <n v="1"/>
    <n v="1"/>
    <n v="0"/>
    <n v="0"/>
    <m/>
    <m/>
    <m/>
    <n v="1"/>
    <n v="0"/>
    <n v="0"/>
    <m/>
    <m/>
    <m/>
    <m/>
    <m/>
    <m/>
    <m/>
    <m/>
    <m/>
    <n v="0"/>
    <m/>
    <n v="0"/>
    <d v="2026-02-26T00:00:00"/>
    <d v="2026-04-02T00:00:00"/>
    <n v="35"/>
    <d v="2026-03-06T00:00:00"/>
    <n v="27"/>
    <m/>
    <n v="1"/>
    <n v="1"/>
    <s v="All Store"/>
    <m/>
    <m/>
    <n v="39.06"/>
    <m/>
    <m/>
    <m/>
    <n v="35.27"/>
    <m/>
    <m/>
    <m/>
    <m/>
    <m/>
    <m/>
    <m/>
    <m/>
    <n v="35.27"/>
    <n v="-3.789999999999999"/>
    <m/>
    <m/>
    <n v="750"/>
    <n v="1"/>
    <m/>
    <m/>
    <m/>
    <m/>
    <m/>
    <n v="0"/>
    <n v="0"/>
    <n v="1496738"/>
    <n v="6958411"/>
    <m/>
    <m/>
    <m/>
    <m/>
    <m/>
    <m/>
    <m/>
    <m/>
    <n v="8455149"/>
  </r>
  <r>
    <n v="70"/>
    <x v="9"/>
    <x v="6"/>
    <s v="Q2"/>
    <x v="3"/>
    <s v="90147032_x0009_"/>
    <s v="Frozen Fully Fried Veggie Wonton 15g"/>
    <n v="0"/>
    <n v="1"/>
    <n v="0"/>
    <m/>
    <n v="100"/>
    <m/>
    <n v="1"/>
    <n v="1"/>
    <n v="0"/>
    <n v="0"/>
    <m/>
    <m/>
    <m/>
    <n v="1"/>
    <m/>
    <m/>
    <m/>
    <m/>
    <m/>
    <m/>
    <m/>
    <d v="2026-04-01T00:00:00"/>
    <d v="2026-01-30T00:00:00"/>
    <d v="2026-02-13T00:00:00"/>
    <d v="2026-03-23T00:00:00"/>
    <n v="52"/>
    <m/>
    <n v="52"/>
    <m/>
    <m/>
    <n v="0"/>
    <m/>
    <n v="0"/>
    <n v="1"/>
    <m/>
    <n v="1"/>
    <s v="ต่างประเทศ"/>
    <n v="1"/>
    <s v="ราคา RM PKG LB Cost สูงกว่าใบขอรหัส"/>
    <n v="37.5"/>
    <m/>
    <m/>
    <m/>
    <n v="3.8"/>
    <m/>
    <m/>
    <m/>
    <m/>
    <m/>
    <m/>
    <m/>
    <m/>
    <n v="3.8"/>
    <n v="-33.7"/>
    <m/>
    <m/>
    <s v="ไม่ระบุ nutrition บน aw"/>
    <m/>
    <m/>
    <m/>
    <m/>
    <m/>
    <m/>
    <n v="0"/>
    <n v="0"/>
    <n v="0"/>
    <n v="502347"/>
    <m/>
    <m/>
    <m/>
    <m/>
    <m/>
    <m/>
    <m/>
    <m/>
    <n v="502347"/>
  </r>
  <r>
    <n v="71"/>
    <x v="9"/>
    <x v="6"/>
    <s v="Q2"/>
    <x v="3"/>
    <s v="90147032_x0009_"/>
    <s v="Sweet &amp; Sour Sauce 20 g"/>
    <n v="0"/>
    <n v="1"/>
    <n v="0"/>
    <m/>
    <n v="100"/>
    <n v="0"/>
    <n v="1"/>
    <n v="1"/>
    <n v="0"/>
    <n v="0"/>
    <m/>
    <m/>
    <m/>
    <n v="1"/>
    <m/>
    <m/>
    <m/>
    <m/>
    <m/>
    <m/>
    <m/>
    <d v="2026-04-01T00:00:00"/>
    <d v="2026-01-30T00:00:00"/>
    <d v="2026-02-13T00:00:00"/>
    <d v="2026-03-16T00:00:00"/>
    <n v="45"/>
    <m/>
    <n v="45"/>
    <m/>
    <m/>
    <n v="0"/>
    <m/>
    <n v="0"/>
    <n v="1"/>
    <m/>
    <n v="1"/>
    <s v="ต่างประเทศ"/>
    <n v="1"/>
    <s v="ราคา RM PKG LB Cost สูงกว่าใบขอรหัส"/>
    <n v="37.5"/>
    <m/>
    <m/>
    <m/>
    <n v="3.8"/>
    <m/>
    <m/>
    <m/>
    <m/>
    <m/>
    <m/>
    <m/>
    <m/>
    <n v="3.8"/>
    <n v="-33.7"/>
    <m/>
    <m/>
    <s v="ไม่ระบุ nutrition บน aw"/>
    <m/>
    <m/>
    <m/>
    <m/>
    <m/>
    <m/>
    <n v="0"/>
    <n v="0"/>
    <n v="0"/>
    <n v="0"/>
    <m/>
    <m/>
    <m/>
    <m/>
    <m/>
    <m/>
    <m/>
    <m/>
    <n v="0"/>
  </r>
  <r>
    <n v="72"/>
    <x v="7"/>
    <x v="7"/>
    <s v="Q2"/>
    <x v="3"/>
    <n v="90139686"/>
    <s v="ผัดหมี่โคราช 200 กรัม"/>
    <n v="8"/>
    <s v="CHB"/>
    <n v="1"/>
    <s v="ถาดละลาย เพิ่มความหนาถาด"/>
    <n v="100"/>
    <n v="0"/>
    <n v="1"/>
    <m/>
    <m/>
    <m/>
    <m/>
    <m/>
    <m/>
    <m/>
    <m/>
    <m/>
    <m/>
    <m/>
    <m/>
    <m/>
    <m/>
    <m/>
    <m/>
    <m/>
    <m/>
    <n v="0"/>
    <m/>
    <n v="0"/>
    <d v="2026-02-25T00:00:00"/>
    <d v="2026-04-23T00:00:00"/>
    <n v="57"/>
    <d v="2026-03-04T00:00:00"/>
    <n v="50"/>
    <n v="1"/>
    <m/>
    <n v="1"/>
    <s v="All Store"/>
    <n v="1"/>
    <m/>
    <n v="31.42"/>
    <m/>
    <m/>
    <m/>
    <n v="22.34"/>
    <m/>
    <m/>
    <m/>
    <m/>
    <m/>
    <m/>
    <m/>
    <m/>
    <n v="22.34"/>
    <n v="-9.080000000000002"/>
    <m/>
    <m/>
    <n v="1320"/>
    <m/>
    <m/>
    <m/>
    <m/>
    <m/>
    <m/>
    <n v="0"/>
    <n v="0"/>
    <n v="0"/>
    <n v="3755920"/>
    <m/>
    <m/>
    <m/>
    <m/>
    <m/>
    <m/>
    <m/>
    <m/>
    <n v="3755920"/>
  </r>
  <r>
    <n v="73"/>
    <x v="7"/>
    <x v="5"/>
    <s v="Q2"/>
    <x v="3"/>
    <n v="90138913"/>
    <s v="เส้นใหญ่ราดหน้าหมูนุ่ม 395 กรัม"/>
    <n v="8"/>
    <n v="4"/>
    <n v="1"/>
    <s v="FF ไม่ผ่าน"/>
    <n v="100"/>
    <n v="0"/>
    <n v="1"/>
    <m/>
    <m/>
    <m/>
    <m/>
    <m/>
    <m/>
    <m/>
    <m/>
    <m/>
    <m/>
    <m/>
    <m/>
    <m/>
    <m/>
    <m/>
    <m/>
    <m/>
    <m/>
    <n v="0"/>
    <m/>
    <n v="0"/>
    <d v="2026-02-19T00:00:00"/>
    <d v="2026-04-30T00:00:00"/>
    <n v="70"/>
    <d v="2026-03-06T00:00:00"/>
    <n v="55"/>
    <m/>
    <n v="1"/>
    <n v="1"/>
    <s v="All Store"/>
    <m/>
    <m/>
    <n v="31.66"/>
    <m/>
    <m/>
    <m/>
    <n v="34.61"/>
    <m/>
    <m/>
    <m/>
    <m/>
    <m/>
    <m/>
    <m/>
    <m/>
    <n v="34.61"/>
    <n v="2.949999999999999"/>
    <m/>
    <m/>
    <n v="1480"/>
    <m/>
    <m/>
    <m/>
    <m/>
    <m/>
    <m/>
    <n v="0"/>
    <n v="0"/>
    <n v="0"/>
    <n v="1013890"/>
    <m/>
    <m/>
    <m/>
    <m/>
    <m/>
    <m/>
    <m/>
    <m/>
    <n v="1013890"/>
  </r>
  <r>
    <n v="74"/>
    <x v="3"/>
    <x v="9"/>
    <s v="Q2"/>
    <x v="3"/>
    <n v="90108275"/>
    <s v="ซาลาเปาลาวาโอวัลติน เจดดราก้อน444g,Makro"/>
    <n v="1"/>
    <n v="2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5-12-17T00:00:00"/>
    <d v="2026-04-06T00:00:00"/>
    <n v="110"/>
    <d v="2025-12-24T00:00:00"/>
    <n v="103"/>
    <n v="1"/>
    <m/>
    <n v="1"/>
    <m/>
    <n v="0"/>
    <m/>
    <n v="50.23"/>
    <m/>
    <m/>
    <m/>
    <n v="53.63"/>
    <m/>
    <m/>
    <m/>
    <m/>
    <m/>
    <m/>
    <m/>
    <m/>
    <n v="53.63"/>
    <n v="3.400000000000006"/>
    <m/>
    <m/>
    <s v="ไม่ระบุ nutrition บน aw"/>
    <m/>
    <m/>
    <m/>
    <m/>
    <m/>
    <m/>
    <n v="0"/>
    <n v="0"/>
    <n v="0"/>
    <n v="480473"/>
    <m/>
    <m/>
    <m/>
    <m/>
    <m/>
    <m/>
    <m/>
    <m/>
    <n v="480473"/>
  </r>
  <r>
    <n v="75"/>
    <x v="3"/>
    <x v="9"/>
    <s v="Q2"/>
    <x v="3"/>
    <s v="90103091"/>
    <s v="ฮะเก๋ากุ้งชีส(ผสมปลาและหมู)เจด360g,Non-7"/>
    <n v="1"/>
    <n v="2"/>
    <n v="0"/>
    <m/>
    <n v="100"/>
    <n v="0"/>
    <n v="1"/>
    <n v="1"/>
    <m/>
    <m/>
    <m/>
    <m/>
    <m/>
    <n v="1"/>
    <m/>
    <m/>
    <m/>
    <m/>
    <m/>
    <m/>
    <m/>
    <m/>
    <m/>
    <m/>
    <m/>
    <n v="0"/>
    <m/>
    <n v="0"/>
    <d v="2026-01-08T00:00:00"/>
    <d v="2026-04-03T00:00:00"/>
    <n v="85"/>
    <d v="2026-01-26T00:00:00"/>
    <n v="67"/>
    <n v="1"/>
    <m/>
    <n v="1"/>
    <s v="All Store"/>
    <n v="0"/>
    <m/>
    <n v="38.05"/>
    <m/>
    <m/>
    <m/>
    <n v="34.78"/>
    <m/>
    <m/>
    <m/>
    <m/>
    <m/>
    <m/>
    <m/>
    <m/>
    <n v="34.78"/>
    <n v="-3.269999999999996"/>
    <m/>
    <m/>
    <s v="ไม่ระบุ nutrition บน aw"/>
    <m/>
    <m/>
    <m/>
    <m/>
    <m/>
    <m/>
    <n v="0"/>
    <n v="0"/>
    <n v="0"/>
    <n v="616593"/>
    <m/>
    <m/>
    <m/>
    <m/>
    <m/>
    <m/>
    <m/>
    <m/>
    <n v="616593"/>
  </r>
  <r>
    <n v="76"/>
    <x v="3"/>
    <x v="3"/>
    <s v="Q2"/>
    <x v="3"/>
    <s v="90108288"/>
    <s v="เปาจี่ผักโขมไก่ผสมแฮมและชีสEZYGO110g7-11"/>
    <n v="1"/>
    <n v="2"/>
    <n v="0"/>
    <m/>
    <n v="90.91"/>
    <n v="0.62"/>
    <n v="1"/>
    <m/>
    <n v="1"/>
    <m/>
    <m/>
    <m/>
    <m/>
    <n v="1"/>
    <m/>
    <m/>
    <m/>
    <m/>
    <m/>
    <m/>
    <m/>
    <m/>
    <m/>
    <m/>
    <m/>
    <n v="0"/>
    <m/>
    <n v="0"/>
    <d v="2026-02-24T00:00:00"/>
    <d v="2026-04-22T00:00:00"/>
    <n v="57"/>
    <d v="2026-03-06T00:00:00"/>
    <n v="47"/>
    <n v="1"/>
    <m/>
    <n v="1"/>
    <s v="All Store"/>
    <n v="0"/>
    <m/>
    <n v="41.36"/>
    <m/>
    <m/>
    <m/>
    <n v="37.41"/>
    <m/>
    <m/>
    <m/>
    <m/>
    <m/>
    <m/>
    <m/>
    <m/>
    <n v="37.41"/>
    <n v="-3.950000000000003"/>
    <m/>
    <m/>
    <s v="ไม่ระบุ nutrition บน aw"/>
    <m/>
    <m/>
    <m/>
    <m/>
    <m/>
    <m/>
    <n v="0"/>
    <n v="0"/>
    <n v="0"/>
    <n v="1273235"/>
    <m/>
    <m/>
    <m/>
    <m/>
    <m/>
    <m/>
    <m/>
    <m/>
    <n v="127323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" fieldListSortAscending="0" mdxSubqueries="0" applyNumberFormats="0" applyBorderFormats="0" applyFontFormats="0" applyPatternFormats="0" applyAlignmentFormats="0" applyWidthHeightFormats="1" r:id="rId1">
  <location ref="A3:K16" firstHeaderRow="1" firstDataRow="3" firstDataCol="1" rowPageCount="1" colPageCount="1"/>
  <pivotFields count="83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4"/>
        <item t="data" sd="1" x="5"/>
        <item t="data" sd="1" x="6"/>
        <item t="data" sd="1" x="0"/>
        <item t="data" sd="1" x="3"/>
        <item t="data" sd="1" x="9"/>
        <item t="data" sd="1" x="1"/>
        <item t="data" sd="1" x="2"/>
        <item t="data" sd="1" x="7"/>
        <item t="data" sd="1" x="8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11">
        <item t="data" sd="1" x="6"/>
        <item t="data" sd="1" x="9"/>
        <item t="data" sd="1" x="2"/>
        <item t="data" sd="1" x="4"/>
        <item t="data" sd="1" x="0"/>
        <item t="data" sd="1" x="1"/>
        <item t="data" sd="1" x="5"/>
        <item t="data" sd="1" x="7"/>
        <item t="data" sd="1" x="8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2">
    <field x="4"/>
    <field x="-2"/>
  </colFields>
  <colItems count="10">
    <i t="data" r="0" i="0">
      <x v="0"/>
      <x v="0"/>
    </i>
    <i t="data" r="1" i="1">
      <x v="1"/>
    </i>
    <i t="data" r="0" i="0">
      <x v="1"/>
      <x v="0"/>
    </i>
    <i t="data" r="1" i="1">
      <x v="1"/>
    </i>
    <i t="data" r="0" i="0">
      <x v="2"/>
      <x v="0"/>
    </i>
    <i t="data" r="1" i="1">
      <x v="1"/>
    </i>
    <i t="data" r="0" i="0">
      <x v="3"/>
      <x v="0"/>
    </i>
    <i t="data" r="1" i="1">
      <x v="1"/>
    </i>
    <i t="grand" r="0" i="0">
      <x v="0"/>
    </i>
    <i t="grand" r="0" i="1">
      <x v="0"/>
    </i>
  </colItems>
  <pageFields count="1">
    <pageField fld="2" hier="-1"/>
  </pageFields>
  <dataFields count="2">
    <dataField name="Sum of New" fld="40" subtotal="sum" showDataAs="normal" baseField="0" baseItem="0"/>
    <dataField name="Sum of Level_x000a_Up" fld="41" subtotal="sum" showDataAs="normal" baseField="0" baseItem="0"/>
  </dataFields>
  <chartFormats count="12">
    <chartFormat chart="0" format="0" series="1">
      <pivotArea type="data" dataOnly="1" outline="0" fieldPosition="0">
        <references count="1">
          <reference field="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" selected="0">
            <x v="1"/>
          </reference>
        </references>
      </pivotArea>
    </chartFormat>
    <chartFormat chart="0" format="2" series="1">
      <pivotArea type="data" dataOnly="1" outline="0" fieldPosition="0">
        <references count="1">
          <reference field="4" selected="0">
            <x v="2"/>
          </reference>
        </references>
      </pivotArea>
    </chartFormat>
    <chartFormat chart="0" format="3" series="1">
      <pivotArea type="data" dataOnly="1" outline="0" fieldPosition="0">
        <references count="1">
          <reference field="4" selected="0">
            <x v="3"/>
          </reference>
        </references>
      </pivotArea>
    </chartFormat>
    <chartFormat chart="0" format="4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2"/>
          </reference>
        </references>
      </pivotArea>
    </chartFormat>
    <chartFormat chart="0" format="5" series="1">
      <pivotArea type="data" dataOnly="1" outline="0" fieldPosition="0">
        <references count="2">
          <reference field="4294967294" selected="0">
            <x v="1"/>
          </reference>
          <reference field="4" selected="0">
            <x v="2"/>
          </reference>
        </references>
      </pivotArea>
    </chartFormat>
    <chartFormat chart="0" format="6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3"/>
          </reference>
        </references>
      </pivotArea>
    </chartFormat>
    <chartFormat chart="0" format="7" series="1">
      <pivotArea type="data" dataOnly="1" outline="0" fieldPosition="0">
        <references count="2">
          <reference field="4294967294" selected="0">
            <x v="1"/>
          </reference>
          <reference field="4" selected="0">
            <x v="3"/>
          </reference>
        </references>
      </pivotArea>
    </chartFormat>
    <chartFormat chart="0" format="8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0"/>
          </reference>
        </references>
      </pivotArea>
    </chartFormat>
    <chartFormat chart="0" format="9" series="1">
      <pivotArea type="data" dataOnly="1" outline="0" fieldPosition="0">
        <references count="2">
          <reference field="4294967294" selected="0">
            <x v="1"/>
          </reference>
          <reference field="4" selected="0">
            <x v="0"/>
          </reference>
        </references>
      </pivotArea>
    </chartFormat>
    <chartFormat chart="0" format="10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1"/>
          </reference>
        </references>
      </pivotArea>
    </chartFormat>
    <chartFormat chart="0" format="11" series="1">
      <pivotArea type="data" dataOnly="1" outline="0" fieldPosition="0">
        <references count="2">
          <reference field="4294967294" selected="0">
            <x v="1"/>
          </reference>
          <reference field="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2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20" firstHeaderRow="1" firstDataRow="1" firstDataCol="0"/>
  <pivotFields count="83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numFmtId="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43" outline="1" subtotalTop="1" dragToRow="1" dragToCol="1" dragToPage="1" dragToData="1" dragOff="1" showAll="0" topAutoShow="1" itemPageCount="10" sortType="manual" defaultSubtotal="1"/>
  </pivot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86100" displayName="Table86100" ref="A3:N50" headerRowCount="1" totalsRowCount="1" headerRowDxfId="249" totalsRowDxfId="248" headerRowBorderDxfId="246" tableBorderDxfId="247" totalsRowBorderDxfId="245">
  <autoFilter ref="A3:N49"/>
  <tableColumns count="14">
    <tableColumn id="1" name="กลุ่มสินค้า" totalsRowLabel="Total" dataDxfId="243" totalsRowDxfId="244"/>
    <tableColumn id="132" name="ตลาด" dataDxfId="241" totalsRowDxfId="242"/>
    <tableColumn id="12" name="เดือน" dataDxfId="239" totalsRowDxfId="240"/>
    <tableColumn id="2" name="แผนขาย New" totalsRowFunction="sum" dataDxfId="237" totalsRowDxfId="238"/>
    <tableColumn id="3" name="แผนขาย Level Up" totalsRowFunction="sum" dataDxfId="235" totalsRowDxfId="236"/>
    <tableColumn id="4" name="ขายได้ New" totalsRowFunction="sum" dataDxfId="233" totalsRowDxfId="234"/>
    <tableColumn id="5" name="ขายได้ Level Up" totalsRowFunction="sum" dataDxfId="231" totalsRowDxfId="232"/>
    <tableColumn id="6" name="หยุดพัฒนาตามแผน" totalsRowFunction="sum" dataDxfId="229" totalsRowDxfId="230"/>
    <tableColumn id="7" name="หยุดพัฒนานอกแผน" totalsRowFunction="sum" dataDxfId="227" totalsRowDxfId="228"/>
    <tableColumn id="8" name="พัฒนาทั้งหมด" totalsRowFunction="sum" dataDxfId="225" totalsRowDxfId="226">
      <calculatedColumnFormula>SUM(F4:I4)</calculatedColumnFormula>
    </tableColumn>
    <tableColumn id="11" name="พัฒนาทั้งหมด_x000a_(ไม่รวม Level Up)" totalsRowFunction="sum" dataDxfId="223" totalsRowDxfId="224">
      <calculatedColumnFormula>Table86100[[#This Row],[ขายได้ New]]+Table86100[[#This Row],[หยุดพัฒนาตามแผน]]+Table86100[[#This Row],[หยุดพัฒนานอกแผน]]</calculatedColumnFormula>
    </tableColumn>
    <tableColumn id="9" name="%success_x000a_New" totalsRowFunction="custom" dataDxfId="221" totalsRowDxfId="222">
      <calculatedColumnFormula>Table86100[[#This Row],[ขายได้ New]]/Table86100[[#This Row],[แผนขาย New]]%</calculatedColumnFormula>
      <totalsRowFormula>Table86100[[#Totals],[ขายได้ New]]/Table86100[[#Totals],[แผนขาย New]]%</totalsRowFormula>
    </tableColumn>
    <tableColumn id="10" name="%success_x000a_Level Up" totalsRowFunction="custom" dataDxfId="219" totalsRowDxfId="220">
      <calculatedColumnFormula>Table86100[[#This Row],[ขายได้ Level Up]]/Table86100[[#This Row],[แผนขาย Level Up]]%</calculatedColumnFormula>
      <totalsRowFormula>Table86100[[#Totals],[ขายได้ Level Up]]/Table86100[[#Totals],[แผนขาย Level Up]]%</totalsRowFormula>
    </tableColumn>
    <tableColumn id="13" name="%success_x000a_รวม" totalsRowFunction="custom" dataDxfId="217" totalsRowDxfId="218">
      <calculatedColumnFormula>(Table86100[[#This Row],[ขายได้ New]]+Table86100[[#This Row],[ขายได้ Level Up]])/(Table86100[[#This Row],[แผนขาย New]]+Table86100[[#This Row],[แผนขาย Level Up]])%</calculatedColumnFormula>
      <totalsRowFormula>(Table86100[[#Totals],[ขายได้ New]]+Table86100[[#Totals],[ขายได้ Level Up]])/(Table86100[[#Totals],[แผนขาย New]]+Table86100[[#Totals],[แผนขาย Level Up]])%</totalsRow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able31" displayName="Table31" ref="A1:H18" headerRowCount="1" totalsRowCount="1" headerRowDxfId="214" totalsRowDxfId="213" headerRowBorderDxfId="211" tableBorderDxfId="212" totalsRowBorderDxfId="210">
  <autoFilter ref="A1:H17"/>
  <tableColumns count="8">
    <tableColumn id="1" name="กลุ่มสินค้า" totalsRowLabel="Total" dataDxfId="208" totalsRowDxfId="209"/>
    <tableColumn id="5" name="ตลาด" dataDxfId="206" totalsRowDxfId="207"/>
    <tableColumn id="6" name="ส่งออกและ non7 ให้ใส่ชื่อลูกค้าด้วย" dataDxfId="204" totalsRowDxfId="205"/>
    <tableColumn id="3" name="ชื่อสินค้า" totalsRowFunction="count" dataDxfId="202" totalsRowDxfId="203"/>
    <tableColumn id="4" name="ตาม/นอกแผน" totalsRowFunction="count" dataDxfId="200" totalsRowDxfId="201"/>
    <tableColumn id="2" name="เดือนที่หยุดพัฒนา" dataDxfId="198" totalsRowDxfId="199"/>
    <tableColumn id="7" name="สาเหตุ" totalsRowFunction="count" dataDxfId="196" totalsRowDxfId="197"/>
    <tableColumn id="8" name="เนื่องจาก" totalsRowFunction="count" dataDxfId="194" totalsRowDxfId="195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13" displayName="Table13" ref="A3:CF82" headerRowCount="1" totalsRowCount="1" headerRowDxfId="190" dataDxfId="189" headerRowBorderDxfId="187" tableBorderDxfId="188">
  <autoFilter ref="A3:CF81"/>
  <tableColumns count="84">
    <tableColumn id="1" name="No." totalsRowLabel="Total" dataDxfId="185" totalsRowDxfId="186"/>
    <tableColumn id="2" name="กลุ่มสินค้า" dataDxfId="183" totalsRowDxfId="184"/>
    <tableColumn id="3" name="ตลาด" dataDxfId="181" totalsRowDxfId="182"/>
    <tableColumn id="81" name="ไตรมาส" dataDxfId="179" totalsRowDxfId="180"/>
    <tableColumn id="4" name="เดือน" dataDxfId="177" totalsRowDxfId="178"/>
    <tableColumn id="5" name="รหัสสินค้า" dataDxfId="175" totalsRowDxfId="176"/>
    <tableColumn id="6" name="ชื่อสินค้า" dataDxfId="173" totalsRowDxfId="174"/>
    <tableColumn id="60" name="จำนวนครั้งใน_x000a_การขยายแบท" dataDxfId="171" totalsRowDxfId="172"/>
    <tableColumn id="52" name="Plant ที่ผลิต" dataDxfId="169" totalsRowDxfId="170"/>
    <tableColumn id="61" name="No. of New Product Delay Plan" totalsRowFunction="sum" dataDxfId="167" totalsRowDxfId="168"/>
    <tableColumn id="47" name="กรณีสินค้านั้นมีการเลื่อนแผนขาย ให้ระบุว่าเลื่อนมาจากเดือนใด และสาเหตุใด" dataDxfId="165" totalsRowDxfId="166"/>
    <tableColumn id="48" name="%αβ" totalsRowFunction="average" dataDxfId="163" totalsRowDxfId="164"/>
    <tableColumn id="49" name="%Defect_x000a_(Test Run_x000a_5 กะ)" totalsRowFunction="average" dataDxfId="161" totalsRowDxfId="162"/>
    <tableColumn id="50" name="ภายใน 5 กะ  Defect ได้ตาม STD หรือไม่" totalsRowFunction="sum" dataDxfId="159" totalsRowDxfId="160"/>
    <tableColumn id="75" name="ผ่าน" totalsRowFunction="custom" dataDxfId="157" totalsRowDxfId="158">
      <totalsRowFormula>SUBTOTAL(109,O4:O81)</totalsRowFormula>
    </tableColumn>
    <tableColumn id="74" name="ผ่านแบบมีเงื่อนไข" totalsRowFunction="custom" dataDxfId="155" totalsRowDxfId="156">
      <totalsRowFormula>SUBTOTAL(109,P4:P81)</totalsRowFormula>
    </tableColumn>
    <tableColumn id="73" name="ไม่ผ่าน" totalsRowFunction="custom" dataDxfId="153" totalsRowDxfId="154">
      <totalsRowFormula>SUBTOTAL(109,Q4:Q81)</totalsRowFormula>
    </tableColumn>
    <tableColumn id="72" name="เหตุผลหลัก" dataDxfId="151" totalsRowDxfId="152"/>
    <tableColumn id="78" name="ประเภทของปัญหา" dataDxfId="149" totalsRowDxfId="150"/>
    <tableColumn id="71" name="อื่นๆ" dataDxfId="147" totalsRowDxfId="148"/>
    <tableColumn id="70" name="ผ่าน2" dataDxfId="145" totalsRowDxfId="146"/>
    <tableColumn id="66" name="ผ่านแบบมีเงื่อนไข2" dataDxfId="143" totalsRowDxfId="144"/>
    <tableColumn id="76" name="ไม่ผ่าน4" dataDxfId="141" totalsRowDxfId="142"/>
    <tableColumn id="65" name="เหตุผลหลัก2" dataDxfId="139" totalsRowDxfId="140"/>
    <tableColumn id="77" name="ประเภทของปัญหา2" dataDxfId="137" totalsRowDxfId="138"/>
    <tableColumn id="64" name="อื่นๆ6" dataDxfId="135" totalsRowDxfId="136"/>
    <tableColumn id="79" name="การแก้ไข" dataDxfId="133" totalsRowDxfId="134"/>
    <tableColumn id="80" name="รายละเอียดการแก้ไข" dataDxfId="131" totalsRowDxfId="132"/>
    <tableColumn id="34" name="Launch Date" dataDxfId="129" totalsRowDxfId="130"/>
    <tableColumn id="29" name="วันที่การตลาด_x000a_อนุมัติใบขอรหัส" dataDxfId="127" totalsRowDxfId="128"/>
    <tableColumn id="67" name="วันที่ใบขอรหัสจบ (ส่งออก)" totalsRowDxfId="126"/>
    <tableColumn id="30" name="วัน Pre-test _x000a_run" dataDxfId="124" totalsRowDxfId="125"/>
    <tableColumn id="31" name="Lead _x000a_time (วัน)" totalsRowFunction="average" dataDxfId="122" totalsRowDxfId="123">
      <calculatedColumnFormula>Table13[[#This Row],[วัน Pre-test 
run]]-Table13[[#This Row],[วันที่การตลาด
อนุมัติใบขอรหัส]]</calculatedColumnFormula>
    </tableColumn>
    <tableColumn id="32" name="จำนวนวัน_x000a_ที่รอ artwork (วัน)" dataDxfId="120" totalsRowDxfId="121"/>
    <tableColumn id="33" name="สรุป _x000a_leadtime" totalsRowFunction="average" dataDxfId="118" totalsRowDxfId="119">
      <calculatedColumnFormula>Table13[[#This Row],[Lead 
time (วัน)]]-Table13[[#This Row],[จำนวนวัน
ที่รอ artwork (วัน)]]</calculatedColumnFormula>
    </tableColumn>
    <tableColumn id="28" name="วันที่การตลาดอนุมัติ_x000a_ใบขอรหัส." dataDxfId="116" totalsRowDxfId="117"/>
    <tableColumn id="8" name="Launch _x000a_Date." dataDxfId="114" totalsRowDxfId="115"/>
    <tableColumn id="12" name="Lead _x000a_time (วัน). (เก่า)" totalsRowFunction="average" dataDxfId="112" totalsRowDxfId="113">
      <calculatedColumnFormula>Table13[[#This Row],[Launch 
Date.]]-Table13[[#This Row],[วันที่การตลาดอนุมัติ
ใบขอรหัส.]]</calculatedColumnFormula>
    </tableColumn>
    <tableColumn id="69" name="วันที่ใบขอรหัสจบ(ภายใน)" dataDxfId="110" totalsRowDxfId="111"/>
    <tableColumn id="68" name="Lead _x000a_time (วัน). (ใหม่)" totalsRowFunction="average" dataDxfId="108" totalsRowDxfId="109">
      <calculatedColumnFormula>Table13[[#This Row],[Launch 
Date.]]-Table13[[#This Row],[วันที่ใบขอรหัสจบ(ภายใน)]]</calculatedColumnFormula>
    </tableColumn>
    <tableColumn id="9" name="New" totalsRowFunction="sum" dataDxfId="106" totalsRowDxfId="107"/>
    <tableColumn id="11" name="Level_x000a_Up" totalsRowFunction="sum" dataDxfId="104" totalsRowDxfId="105"/>
    <tableColumn id="84" name="Total" totalsRowFunction="custom" dataDxfId="102" totalsRowDxfId="103">
      <totalsRowFormula>SUBTOTAL(109,Table13[Total])</totalsRowFormula>
    </tableColumn>
    <tableColumn id="57" name="ลักษณะ_x000a_การขาย" totalsRowFunction="sum" dataDxfId="100" totalsRowDxfId="101"/>
    <tableColumn id="62" name="No. of New Product over Target Cost" totalsRowFunction="custom" dataDxfId="98" totalsRowDxfId="99">
      <totalsRowFormula>SUM(Table13[No. of New Product over Target Cost])</totalsRowFormula>
    </tableColumn>
    <tableColumn id="63" name="สาเหตที่ CM เกิดจริงน้อยกว่า CM ใบขอรหัส" dataDxfId="96" totalsRowDxfId="97"/>
    <tableColumn id="27" name="%CM_x000a_ใบขอรหัส" dataDxfId="94" totalsRowDxfId="95"/>
    <tableColumn id="85" name="%CM_x000a_inbound" dataDxfId="92" totalsRowDxfId="93"/>
    <tableColumn id="35" name="%CM _x000a_เกิดจริง_x000a_ Jan" dataDxfId="90" totalsRowDxfId="91"/>
    <tableColumn id="36" name="%CM _x000a_เกิดจริง_x000a_ Feb" dataDxfId="88" totalsRowDxfId="89"/>
    <tableColumn id="37" name="%CM _x000a_เกิดจริง_x000a_ Mar" dataDxfId="86" totalsRowDxfId="87"/>
    <tableColumn id="38" name="%CM _x000a_เกิดจริง_x000a_ Apr" dataDxfId="84" totalsRowDxfId="85"/>
    <tableColumn id="39" name="%CM _x000a_เกิดจริง_x000a_ May" dataDxfId="82" totalsRowDxfId="83"/>
    <tableColumn id="41" name="%CM _x000a_เกิดจริง_x000a_ Jun" dataDxfId="80" totalsRowDxfId="81"/>
    <tableColumn id="46" name="%CM _x000a_เกิดจริง_x000a_ Jul" dataDxfId="78" totalsRowDxfId="79"/>
    <tableColumn id="45" name="%CM _x000a_เกิดจริง_x000a_ Aug" dataDxfId="76" totalsRowDxfId="77"/>
    <tableColumn id="44" name="%CM _x000a_เกิดจริง_x000a_ Sep" dataDxfId="74" totalsRowDxfId="75"/>
    <tableColumn id="43" name="%CM _x000a_เกิดจริง_x000a_ Oct" dataDxfId="72" totalsRowDxfId="73"/>
    <tableColumn id="42" name="%CM _x000a_เกิดจริง_x000a_ Nov" dataDxfId="70" totalsRowDxfId="71"/>
    <tableColumn id="40" name="%CM _x000a_เกิดจริง_x000a_ Dec" dataDxfId="68" totalsRowDxfId="69"/>
    <tableColumn id="82" name="%CM _x000a_เกิดจริงเฉลี่ย" dataDxfId="66" totalsRowDxfId="67">
      <calculatedColumnFormula>AVERAGE(AW4:BH4)</calculatedColumnFormula>
    </tableColumn>
    <tableColumn id="83" name="%CM ต่างจากใบขอรหัส" dataDxfId="64" totalsRowDxfId="65">
      <calculatedColumnFormula>BI4-AU4</calculatedColumnFormula>
    </tableColumn>
    <tableColumn id="59" name="Creator" totalsRowFunction="sum" dataDxfId="62" totalsRowDxfId="63"/>
    <tableColumn id="58" name="VG for Love" totalsRowFunction="sum" dataDxfId="60" totalsRowDxfId="61"/>
    <tableColumn id="10" name="ค่าโซเดียม/serve" totalsRowFunction="sum" dataDxfId="58" totalsRowDxfId="59"/>
    <tableColumn id="26" name="ค่าโซเดียมไม่เกิน 1000 mg/serve" totalsRowFunction="sum" dataDxfId="56" totalsRowDxfId="57"/>
    <tableColumn id="51" name="ทางเลือกสุขภาพ" totalsRowFunction="sum" dataDxfId="54" totalsRowDxfId="55"/>
    <tableColumn id="53" name="อาหารที่มีการ_x000a_เพิ่มหรือลด" totalsRowFunction="sum" dataDxfId="52" totalsRowDxfId="53"/>
    <tableColumn id="54" name="ผักและผลไม้" totalsRowFunction="custom" dataDxfId="50" totalsRowDxfId="51">
      <totalsRowFormula>SUBTOTAL(109,Table13[อาหารที่มีการ
เพิ่มหรือลด])</totalsRowFormula>
    </tableColumn>
    <tableColumn id="55" name="อาหารทางการแพทย์" totalsRowFunction="sum" dataDxfId="48" totalsRowDxfId="49"/>
    <tableColumn id="56" name="ไม่เข้าข่าย _x000a_Health" totalsRowFunction="sum" dataDxfId="46" totalsRowDxfId="47"/>
    <tableColumn id="13" name="JAN" dataDxfId="44" totalsRowDxfId="45"/>
    <tableColumn id="14" name="FEB" dataDxfId="42" totalsRowDxfId="43"/>
    <tableColumn id="15" name="MAR" dataDxfId="40" totalsRowDxfId="41"/>
    <tableColumn id="16" name="APR" dataDxfId="38" totalsRowDxfId="39"/>
    <tableColumn id="17" name="MAY" dataDxfId="36" totalsRowDxfId="37"/>
    <tableColumn id="18" name="JUN" dataDxfId="34" totalsRowDxfId="35"/>
    <tableColumn id="19" name="JUL" dataDxfId="32" totalsRowDxfId="33"/>
    <tableColumn id="20" name="Aug" dataDxfId="30" totalsRowDxfId="31"/>
    <tableColumn id="21" name="Sep" dataDxfId="28" totalsRowDxfId="29"/>
    <tableColumn id="22" name="Oct" dataDxfId="26" totalsRowDxfId="27"/>
    <tableColumn id="23" name="Nov" dataDxfId="24" totalsRowDxfId="25"/>
    <tableColumn id="24" name="Dec" dataDxfId="22" totalsRowDxfId="23"/>
    <tableColumn id="25" name="Grand Total" totalsRowFunction="sum" dataDxfId="20" totalsRowDxfId="21">
      <calculatedColumnFormula>SUM(BT4:CE4)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32" displayName="Table132" ref="A2:H13" headerRowCount="1" totalsRowShown="0" headerRowDxfId="19" dataDxfId="18" headerRowBorderDxfId="16" tableBorderDxfId="17">
  <autoFilter ref="A2:H13"/>
  <tableColumns count="8">
    <tableColumn id="1" name="No." dataDxfId="14" totalsRowDxfId="15"/>
    <tableColumn id="2" name="กลุ่มสินค้า" dataDxfId="12" totalsRowDxfId="13"/>
    <tableColumn id="3" name="ตลาด" dataDxfId="10" totalsRowDxfId="11"/>
    <tableColumn id="4" name="ไตรมาสที่" dataDxfId="8" totalsRowDxfId="9"/>
    <tableColumn id="5" name="Best Practice" dataDxfId="6" totalsRowDxfId="7"/>
    <tableColumn id="6" name="Key learning" dataDxfId="4" totalsRowDxfId="5"/>
    <tableColumn id="7" name="Lesson Learn" dataDxfId="2" totalsRowDxfId="3">
      <calculatedColumnFormula array="1">- ควบคุบอัตราส่วนน้ำมันกับน้ำซอสที่ใช้เคล้าเส้นให้คงที่ เพื่อลดการเกิดความไม่สม่ำเสมอ และยังควบคุบความมันของเส้นให้คงที่อีกด้วย
- ควบคุมอุณหภูมิของเส้นและน้ำซอสให้ได้ตาม STD เพราะอุณหภูมิมีผลต่อเส้นที่เคลือบน้ำซอส</calculatedColumnFormula>
    </tableColumn>
    <tableColumn id="9" name="Failure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pivotTable" Target="/xl/pivotTables/pivotTable1.xml" Id="rId2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3.xml" Id="rId2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pivotTable" Target="/xl/pivotTables/pivot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16" customWidth="1" min="3" max="3"/>
    <col width="16" customWidth="1" min="4" max="4"/>
    <col width="18" customWidth="1" min="5" max="5"/>
    <col width="24" customWidth="1" min="6" max="6"/>
    <col width="22" customWidth="1" min="7" max="7"/>
    <col width="18" customWidth="1" min="8" max="8"/>
  </cols>
  <sheetData>
    <row r="1">
      <c r="A1" s="895" t="inlineStr">
        <is>
          <t>Dashboard - สรุปภาพรวม RTE 2026</t>
        </is>
      </c>
    </row>
    <row r="3">
      <c r="A3" s="896" t="inlineStr">
        <is>
          <t>Total Plan New</t>
        </is>
      </c>
      <c r="B3" s="27">
        <f>SUM('%success ทุกเดือน'!D4:D1000)</f>
        <v/>
      </c>
    </row>
    <row r="4">
      <c r="A4" s="896" t="inlineStr">
        <is>
          <t>Total Sold New</t>
        </is>
      </c>
      <c r="B4" s="27">
        <f>SUM('%success ทุกเดือน'!F4:F1000)</f>
        <v/>
      </c>
    </row>
    <row r="5">
      <c r="A5" s="896" t="inlineStr">
        <is>
          <t>% Success New (Overall)</t>
        </is>
      </c>
      <c r="B5" s="27">
        <f>IFERROR(B4/B3,"")</f>
        <v/>
      </c>
    </row>
    <row r="6">
      <c r="A6" s="896" t="inlineStr">
        <is>
          <t>Total Stop Planned</t>
        </is>
      </c>
      <c r="B6" s="27">
        <f>SUM('%success ทุกเดือน'!H4:H1000)</f>
        <v/>
      </c>
    </row>
    <row r="7">
      <c r="A7" s="896" t="inlineStr">
        <is>
          <t>Total Stop Unplanned</t>
        </is>
      </c>
      <c r="B7" s="27">
        <f>SUM('%success ทุกเดือน'!I4:I1000)</f>
        <v/>
      </c>
    </row>
    <row r="9">
      <c r="A9" s="897" t="inlineStr">
        <is>
          <t>Month</t>
        </is>
      </c>
      <c r="B9" s="897" t="inlineStr">
        <is>
          <t>Plan New</t>
        </is>
      </c>
      <c r="C9" s="897" t="inlineStr">
        <is>
          <t>Sold New</t>
        </is>
      </c>
      <c r="D9" s="897" t="inlineStr">
        <is>
          <t>% Success</t>
        </is>
      </c>
    </row>
    <row r="10">
      <c r="A10" s="27" t="inlineStr">
        <is>
          <t>Jan</t>
        </is>
      </c>
      <c r="B10" s="27">
        <f>SUMIFS('%success ทุกเดือน'!$D:$D,'%success ทุกเดือน'!$C:$C,"Jan")</f>
        <v/>
      </c>
      <c r="C10" s="27">
        <f>SUMIFS('%success ทุกเดือน'!$F:$F,'%success ทุกเดือน'!$C:$C,"Jan")</f>
        <v/>
      </c>
      <c r="D10" s="27">
        <f>IFERROR(C10/B10,"")</f>
        <v/>
      </c>
    </row>
    <row r="11">
      <c r="A11" s="27" t="inlineStr">
        <is>
          <t>Feb</t>
        </is>
      </c>
      <c r="B11" s="27">
        <f>SUMIFS('%success ทุกเดือน'!$D:$D,'%success ทุกเดือน'!$C:$C,"Feb")</f>
        <v/>
      </c>
      <c r="C11" s="27">
        <f>SUMIFS('%success ทุกเดือน'!$F:$F,'%success ทุกเดือน'!$C:$C,"Feb")</f>
        <v/>
      </c>
      <c r="D11" s="27">
        <f>IFERROR(C11/B11,"")</f>
        <v/>
      </c>
    </row>
    <row r="12">
      <c r="A12" s="27" t="inlineStr">
        <is>
          <t>Mar</t>
        </is>
      </c>
      <c r="B12" s="27">
        <f>SUMIFS('%success ทุกเดือน'!$D:$D,'%success ทุกเดือน'!$C:$C,"Mar")</f>
        <v/>
      </c>
      <c r="C12" s="27">
        <f>SUMIFS('%success ทุกเดือน'!$F:$F,'%success ทุกเดือน'!$C:$C,"Mar")</f>
        <v/>
      </c>
      <c r="D12" s="27">
        <f>IFERROR(C12/B12,"")</f>
        <v/>
      </c>
    </row>
    <row r="13">
      <c r="A13" s="27" t="inlineStr">
        <is>
          <t>Apr</t>
        </is>
      </c>
      <c r="B13" s="27">
        <f>SUMIFS('%success ทุกเดือน'!$D:$D,'%success ทุกเดือน'!$C:$C,"Apr")</f>
        <v/>
      </c>
      <c r="C13" s="27">
        <f>SUMIFS('%success ทุกเดือน'!$F:$F,'%success ทุกเดือน'!$C:$C,"Apr")</f>
        <v/>
      </c>
      <c r="D13" s="27">
        <f>IFERROR(C13/B13,"")</f>
        <v/>
      </c>
    </row>
    <row r="14">
      <c r="A14" s="27" t="inlineStr">
        <is>
          <t>May</t>
        </is>
      </c>
      <c r="B14" s="27">
        <f>SUMIFS('%success ทุกเดือน'!$D:$D,'%success ทุกเดือน'!$C:$C,"May")</f>
        <v/>
      </c>
      <c r="C14" s="27">
        <f>SUMIFS('%success ทุกเดือน'!$F:$F,'%success ทุกเดือน'!$C:$C,"May")</f>
        <v/>
      </c>
      <c r="D14" s="27">
        <f>IFERROR(C14/B14,"")</f>
        <v/>
      </c>
    </row>
    <row r="15">
      <c r="A15" s="27" t="inlineStr">
        <is>
          <t>Jun</t>
        </is>
      </c>
      <c r="B15" s="27">
        <f>SUMIFS('%success ทุกเดือน'!$D:$D,'%success ทุกเดือน'!$C:$C,"Jun")</f>
        <v/>
      </c>
      <c r="C15" s="27">
        <f>SUMIFS('%success ทุกเดือน'!$F:$F,'%success ทุกเดือน'!$C:$C,"Jun")</f>
        <v/>
      </c>
      <c r="D15" s="27">
        <f>IFERROR(C15/B15,"")</f>
        <v/>
      </c>
    </row>
    <row r="16">
      <c r="A16" s="27" t="inlineStr">
        <is>
          <t>Jul</t>
        </is>
      </c>
      <c r="B16" s="27">
        <f>SUMIFS('%success ทุกเดือน'!$D:$D,'%success ทุกเดือน'!$C:$C,"Jul")</f>
        <v/>
      </c>
      <c r="C16" s="27">
        <f>SUMIFS('%success ทุกเดือน'!$F:$F,'%success ทุกเดือน'!$C:$C,"Jul")</f>
        <v/>
      </c>
      <c r="D16" s="27">
        <f>IFERROR(C16/B16,"")</f>
        <v/>
      </c>
    </row>
    <row r="17">
      <c r="A17" s="27" t="inlineStr">
        <is>
          <t>Aug</t>
        </is>
      </c>
      <c r="B17" s="27">
        <f>SUMIFS('%success ทุกเดือน'!$D:$D,'%success ทุกเดือน'!$C:$C,"Aug")</f>
        <v/>
      </c>
      <c r="C17" s="27">
        <f>SUMIFS('%success ทุกเดือน'!$F:$F,'%success ทุกเดือน'!$C:$C,"Aug")</f>
        <v/>
      </c>
      <c r="D17" s="27">
        <f>IFERROR(C17/B17,"")</f>
        <v/>
      </c>
    </row>
    <row r="18">
      <c r="A18" s="27" t="inlineStr">
        <is>
          <t>Sep</t>
        </is>
      </c>
      <c r="B18" s="27">
        <f>SUMIFS('%success ทุกเดือน'!$D:$D,'%success ทุกเดือน'!$C:$C,"Sep")</f>
        <v/>
      </c>
      <c r="C18" s="27">
        <f>SUMIFS('%success ทุกเดือน'!$F:$F,'%success ทุกเดือน'!$C:$C,"Sep")</f>
        <v/>
      </c>
      <c r="D18" s="27">
        <f>IFERROR(C18/B18,"")</f>
        <v/>
      </c>
    </row>
    <row r="19">
      <c r="A19" s="27" t="inlineStr">
        <is>
          <t>Oct</t>
        </is>
      </c>
      <c r="B19" s="27">
        <f>SUMIFS('%success ทุกเดือน'!$D:$D,'%success ทุกเดือน'!$C:$C,"Oct")</f>
        <v/>
      </c>
      <c r="C19" s="27">
        <f>SUMIFS('%success ทุกเดือน'!$F:$F,'%success ทุกเดือน'!$C:$C,"Oct")</f>
        <v/>
      </c>
      <c r="D19" s="27">
        <f>IFERROR(C19/B19,"")</f>
        <v/>
      </c>
    </row>
    <row r="20">
      <c r="A20" s="27" t="inlineStr">
        <is>
          <t>Nov</t>
        </is>
      </c>
      <c r="B20" s="27">
        <f>SUMIFS('%success ทุกเดือน'!$D:$D,'%success ทุกเดือน'!$C:$C,"Nov")</f>
        <v/>
      </c>
      <c r="C20" s="27">
        <f>SUMIFS('%success ทุกเดือน'!$F:$F,'%success ทุกเดือน'!$C:$C,"Nov")</f>
        <v/>
      </c>
      <c r="D20" s="27">
        <f>IFERROR(C20/B20,"")</f>
        <v/>
      </c>
    </row>
    <row r="21">
      <c r="A21" s="27" t="inlineStr">
        <is>
          <t>Dec</t>
        </is>
      </c>
      <c r="B21" s="27">
        <f>SUMIFS('%success ทุกเดือน'!$D:$D,'%success ทุกเดือน'!$C:$C,"Dec")</f>
        <v/>
      </c>
      <c r="C21" s="27">
        <f>SUMIFS('%success ทุกเดือน'!$F:$F,'%success ทุกเดือน'!$C:$C,"Dec")</f>
        <v/>
      </c>
      <c r="D21" s="27">
        <f>IFERROR(C21/B21,"")</f>
        <v/>
      </c>
    </row>
    <row r="23">
      <c r="A23" s="896" t="inlineStr">
        <is>
          <t>ฟอร์มเพิ่มรายการสินค้าใหม่</t>
        </is>
      </c>
    </row>
    <row r="24">
      <c r="A24" s="898" t="inlineStr">
        <is>
          <t>กลุ่มสินค้า</t>
        </is>
      </c>
      <c r="B24" s="899" t="n"/>
    </row>
    <row r="25">
      <c r="A25" s="898" t="inlineStr">
        <is>
          <t>ตลาด</t>
        </is>
      </c>
      <c r="B25" s="899" t="n"/>
    </row>
    <row r="26">
      <c r="A26" s="898" t="inlineStr">
        <is>
          <t>ส่งออกและ non7 ให้ใส่ชื่อลูกค้าด้วย</t>
        </is>
      </c>
      <c r="B26" s="899" t="n"/>
    </row>
    <row r="27">
      <c r="A27" s="898" t="inlineStr">
        <is>
          <t>ชื่อสินค้า</t>
        </is>
      </c>
      <c r="B27" s="899" t="n"/>
    </row>
    <row r="28">
      <c r="A28" s="898" t="inlineStr">
        <is>
          <t>ตาม/นอกแผน</t>
        </is>
      </c>
      <c r="B28" s="899" t="n"/>
    </row>
    <row r="29">
      <c r="A29" s="898" t="inlineStr">
        <is>
          <t>เดือนที่หยุดพัฒนา</t>
        </is>
      </c>
      <c r="B29" s="899" t="n"/>
    </row>
    <row r="30">
      <c r="A30" s="898" t="inlineStr">
        <is>
          <t>สาเหตุ</t>
        </is>
      </c>
      <c r="B30" s="899" t="n"/>
    </row>
    <row r="31">
      <c r="A31" s="898" t="inlineStr">
        <is>
          <t>เนื่องจาก</t>
        </is>
      </c>
      <c r="B31" s="899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topLeftCell="A38" workbookViewId="0">
      <selection activeCell="L19" sqref="L19"/>
    </sheetView>
  </sheetViews>
  <sheetFormatPr baseColWidth="8" defaultRowHeight="14.25"/>
  <cols>
    <col width="11.75" bestFit="1" customWidth="1" min="1" max="1"/>
    <col width="19.875" bestFit="1" customWidth="1" min="2" max="2"/>
    <col width="16.875" customWidth="1" min="3" max="3"/>
  </cols>
  <sheetData>
    <row r="1">
      <c r="A1" s="702" t="inlineStr">
        <is>
          <t>Performance Jan-Aug 2023</t>
        </is>
      </c>
    </row>
    <row r="2" ht="15" customHeight="1" thickBot="1"/>
    <row r="3" ht="29.25" customHeight="1" thickBot="1">
      <c r="A3" s="233" t="n"/>
      <c r="B3" s="234" t="inlineStr">
        <is>
          <t>PMA</t>
        </is>
      </c>
      <c r="C3" s="234" t="inlineStr">
        <is>
          <t>Group</t>
        </is>
      </c>
      <c r="D3" s="240" t="inlineStr">
        <is>
          <t>ขายได้</t>
        </is>
      </c>
      <c r="E3" s="245" t="inlineStr">
        <is>
          <t>%</t>
        </is>
      </c>
      <c r="F3" s="250" t="inlineStr">
        <is>
          <t>หยุดพัฒนา</t>
        </is>
      </c>
      <c r="G3" s="251" t="inlineStr">
        <is>
          <t>%</t>
        </is>
      </c>
      <c r="H3" s="267" t="inlineStr">
        <is>
          <t>พัฒนาทั้งหมด</t>
        </is>
      </c>
    </row>
    <row r="4">
      <c r="A4" s="231" t="inlineStr">
        <is>
          <t>พี่ผึ้ง</t>
        </is>
      </c>
      <c r="B4" s="237" t="inlineStr">
        <is>
          <t>PMA02</t>
        </is>
      </c>
      <c r="C4" s="237" t="inlineStr">
        <is>
          <t>FULLY FRIED</t>
        </is>
      </c>
      <c r="D4" s="241" t="n">
        <v>1</v>
      </c>
      <c r="E4" s="246">
        <f>D4/H4%</f>
        <v/>
      </c>
      <c r="F4" s="235" t="n">
        <v>1</v>
      </c>
      <c r="G4" s="252">
        <f>F4/H4%</f>
        <v/>
      </c>
      <c r="H4" s="268">
        <f>D4+F4</f>
        <v/>
      </c>
    </row>
    <row r="5">
      <c r="A5" s="232" t="n"/>
      <c r="B5" s="114" t="inlineStr">
        <is>
          <t>PMA08</t>
        </is>
      </c>
      <c r="C5" s="114" t="inlineStr">
        <is>
          <t>BURGER Stk Rice</t>
        </is>
      </c>
      <c r="D5" s="242" t="n">
        <v>9</v>
      </c>
      <c r="E5" s="263">
        <f>(D5+D6)/H5%</f>
        <v/>
      </c>
      <c r="F5" s="228" t="n">
        <v>0</v>
      </c>
      <c r="G5" s="266">
        <f>F5/H5%</f>
        <v/>
      </c>
      <c r="H5" s="274">
        <f>D5+F5+D6</f>
        <v/>
      </c>
    </row>
    <row r="6">
      <c r="A6" s="232" t="n"/>
      <c r="B6" s="114" t="n"/>
      <c r="C6" s="114" t="inlineStr">
        <is>
          <t>BURGER</t>
        </is>
      </c>
      <c r="D6" s="242" t="n">
        <v>3</v>
      </c>
      <c r="E6" s="801" t="n"/>
      <c r="F6" s="801" t="n"/>
      <c r="G6" s="801" t="n"/>
      <c r="H6" s="802" t="n"/>
    </row>
    <row r="7">
      <c r="A7" s="232" t="n"/>
      <c r="B7" s="114" t="inlineStr">
        <is>
          <t>PMA22 ข้าวเหนียว</t>
        </is>
      </c>
      <c r="C7" s="114" t="inlineStr">
        <is>
          <t>Steak</t>
        </is>
      </c>
      <c r="D7" s="242" t="n">
        <v>1</v>
      </c>
      <c r="E7" s="263">
        <f>(D7+D8)/H7%</f>
        <v/>
      </c>
      <c r="F7" s="228" t="n">
        <v>0</v>
      </c>
      <c r="G7" s="266">
        <f>F7/H7%</f>
        <v/>
      </c>
      <c r="H7" s="274">
        <f>D7+D8+F7</f>
        <v/>
      </c>
    </row>
    <row r="8">
      <c r="A8" s="232" t="n"/>
      <c r="B8" s="114" t="n"/>
      <c r="C8" s="114" t="inlineStr">
        <is>
          <t>Sticky Rice</t>
        </is>
      </c>
      <c r="D8" s="242" t="n">
        <v>1</v>
      </c>
      <c r="E8" s="801" t="n"/>
      <c r="F8" s="801" t="n"/>
      <c r="G8" s="801" t="n"/>
      <c r="H8" s="802" t="n"/>
    </row>
    <row r="9" ht="15" customHeight="1" thickBot="1">
      <c r="A9" s="238" t="n"/>
      <c r="B9" s="239" t="inlineStr">
        <is>
          <t>PMA20 เกี๊ยว</t>
        </is>
      </c>
      <c r="C9" s="239" t="inlineStr">
        <is>
          <t>Dumpling</t>
        </is>
      </c>
      <c r="D9" s="243" t="n">
        <v>1</v>
      </c>
      <c r="E9" s="699">
        <f>D9/H9%</f>
        <v/>
      </c>
      <c r="F9" s="698" t="n">
        <v>0</v>
      </c>
      <c r="G9" s="701">
        <f>F9/H9%</f>
        <v/>
      </c>
      <c r="H9" s="700">
        <f>D9+F9</f>
        <v/>
      </c>
    </row>
    <row r="10" ht="15" customFormat="1" customHeight="1" s="229" thickBot="1">
      <c r="A10" s="803" t="inlineStr">
        <is>
          <t>Total</t>
        </is>
      </c>
      <c r="B10" s="804" t="n"/>
      <c r="C10" s="805" t="n"/>
      <c r="D10" s="244">
        <f>SUM(D4:D9)</f>
        <v/>
      </c>
      <c r="E10" s="249">
        <f>D10/H10%</f>
        <v/>
      </c>
      <c r="F10" s="236">
        <f>SUM(F4:F9)</f>
        <v/>
      </c>
      <c r="G10" s="255">
        <f>F10/H10%</f>
        <v/>
      </c>
      <c r="H10" s="271">
        <f>SUM(H4:H9)</f>
        <v/>
      </c>
    </row>
    <row r="11">
      <c r="A11" s="231" t="inlineStr">
        <is>
          <t>พี่หญิงสุ</t>
        </is>
      </c>
      <c r="B11" s="237" t="inlineStr">
        <is>
          <t>PMA24</t>
        </is>
      </c>
      <c r="C11" s="237" t="inlineStr">
        <is>
          <t>MINIPAO</t>
        </is>
      </c>
      <c r="D11" s="241" t="n">
        <v>3</v>
      </c>
      <c r="E11" s="695">
        <f>(D11+D12+D13+D14+D15+D16)/H11%</f>
        <v/>
      </c>
      <c r="F11" s="683" t="n">
        <v>11</v>
      </c>
      <c r="G11" s="680">
        <f>F11/H11%</f>
        <v/>
      </c>
      <c r="H11" s="677">
        <f>D11+D12+D13+D14+D15+D16+F11</f>
        <v/>
      </c>
    </row>
    <row r="12">
      <c r="A12" s="232" t="n"/>
      <c r="B12" s="114" t="n"/>
      <c r="C12" s="114" t="inlineStr">
        <is>
          <t>PAOPAO</t>
        </is>
      </c>
      <c r="D12" s="242" t="n">
        <v>6</v>
      </c>
      <c r="E12" s="806" t="n"/>
      <c r="F12" s="806" t="n"/>
      <c r="G12" s="806" t="n"/>
      <c r="H12" s="807" t="n"/>
    </row>
    <row r="13">
      <c r="A13" s="232" t="n"/>
      <c r="B13" s="114" t="n"/>
      <c r="C13" s="114" t="inlineStr">
        <is>
          <t>SALAPAO</t>
        </is>
      </c>
      <c r="D13" s="242" t="n">
        <v>6</v>
      </c>
      <c r="E13" s="806" t="n"/>
      <c r="F13" s="806" t="n"/>
      <c r="G13" s="806" t="n"/>
      <c r="H13" s="807" t="n"/>
    </row>
    <row r="14">
      <c r="A14" s="238" t="n"/>
      <c r="B14" s="204" t="n"/>
      <c r="C14" s="204" t="inlineStr">
        <is>
          <t>BIGPAO</t>
        </is>
      </c>
      <c r="D14" s="243" t="n">
        <v>1</v>
      </c>
      <c r="E14" s="806" t="n"/>
      <c r="F14" s="806" t="n"/>
      <c r="G14" s="806" t="n"/>
      <c r="H14" s="807" t="n"/>
    </row>
    <row r="15">
      <c r="A15" s="232" t="n"/>
      <c r="B15" s="114" t="n"/>
      <c r="C15" s="114" t="inlineStr">
        <is>
          <t>SHUMAI(stk)</t>
        </is>
      </c>
      <c r="D15" s="242" t="n">
        <v>3</v>
      </c>
      <c r="E15" s="806" t="n"/>
      <c r="F15" s="806" t="n"/>
      <c r="G15" s="806" t="n"/>
      <c r="H15" s="807" t="n"/>
    </row>
    <row r="16" ht="15" customHeight="1" thickBot="1">
      <c r="A16" s="232" t="n"/>
      <c r="B16" s="114" t="n"/>
      <c r="C16" s="114" t="inlineStr">
        <is>
          <t>SHUMAI(chill)</t>
        </is>
      </c>
      <c r="D16" s="242" t="n">
        <v>4</v>
      </c>
      <c r="E16" s="806" t="n"/>
      <c r="F16" s="806" t="n"/>
      <c r="G16" s="806" t="n"/>
      <c r="H16" s="807" t="n"/>
    </row>
    <row r="17" ht="15" customFormat="1" customHeight="1" s="11" thickBot="1">
      <c r="A17" s="83" t="inlineStr">
        <is>
          <t>Total</t>
        </is>
      </c>
      <c r="B17" s="804" t="n"/>
      <c r="C17" s="805" t="n"/>
      <c r="D17" s="264">
        <f>SUM(D11:D16)</f>
        <v/>
      </c>
      <c r="E17" s="249">
        <f>D17/H17%</f>
        <v/>
      </c>
      <c r="F17" s="260">
        <f>SUM(F11:F16)</f>
        <v/>
      </c>
      <c r="G17" s="255">
        <f>F17/H17%</f>
        <v/>
      </c>
      <c r="H17" s="273">
        <f>SUM(H11:H16)</f>
        <v/>
      </c>
    </row>
    <row r="18" ht="15" customHeight="1" thickBot="1">
      <c r="A18" s="278" t="inlineStr">
        <is>
          <t>พี่แพท</t>
        </is>
      </c>
      <c r="B18" s="276" t="inlineStr">
        <is>
          <t>PMA16</t>
        </is>
      </c>
      <c r="C18" s="276" t="inlineStr">
        <is>
          <t>สลัด</t>
        </is>
      </c>
      <c r="D18" s="275" t="n">
        <v>1</v>
      </c>
      <c r="E18" s="695">
        <f>D18/H18%</f>
        <v/>
      </c>
      <c r="F18" s="683" t="n">
        <v>0</v>
      </c>
      <c r="G18" s="680">
        <f>F18/H18%</f>
        <v/>
      </c>
      <c r="H18" s="677">
        <f>D18+F18</f>
        <v/>
      </c>
    </row>
    <row r="19" ht="15" customHeight="1" thickBot="1">
      <c r="A19" s="803" t="inlineStr">
        <is>
          <t>Total</t>
        </is>
      </c>
      <c r="B19" s="804" t="n"/>
      <c r="C19" s="805" t="n"/>
      <c r="D19" s="264">
        <f>SUM(D18)</f>
        <v/>
      </c>
      <c r="E19" s="249">
        <f>D19/H19%</f>
        <v/>
      </c>
      <c r="F19" s="260">
        <f>SUM(F18)</f>
        <v/>
      </c>
      <c r="G19" s="255">
        <f>F19/H19%</f>
        <v/>
      </c>
      <c r="H19" s="273">
        <f>SUM(H18)</f>
        <v/>
      </c>
    </row>
    <row r="20" ht="15" customHeight="1" thickBot="1">
      <c r="A20" s="278" t="inlineStr">
        <is>
          <t>หมิว</t>
        </is>
      </c>
      <c r="B20" s="276" t="inlineStr">
        <is>
          <t>PMA19 ข้าวปั้น</t>
        </is>
      </c>
      <c r="C20" s="276" t="inlineStr">
        <is>
          <t>ข้าวปั้น</t>
        </is>
      </c>
      <c r="D20" s="275" t="n">
        <v>1</v>
      </c>
      <c r="E20" s="695">
        <f>D20/H20%</f>
        <v/>
      </c>
      <c r="F20" s="683" t="n">
        <v>1</v>
      </c>
      <c r="G20" s="680">
        <f>F20/H20%</f>
        <v/>
      </c>
      <c r="H20" s="677">
        <f>D20+F20</f>
        <v/>
      </c>
    </row>
    <row r="21" ht="15" customFormat="1" customHeight="1" s="11" thickBot="1">
      <c r="A21" s="83" t="inlineStr">
        <is>
          <t>Total</t>
        </is>
      </c>
      <c r="B21" s="804" t="n"/>
      <c r="C21" s="805" t="n"/>
      <c r="D21" s="264">
        <f>SUM(D20)</f>
        <v/>
      </c>
      <c r="E21" s="249">
        <f>D21/H21%</f>
        <v/>
      </c>
      <c r="F21" s="260">
        <f>SUM(F20)</f>
        <v/>
      </c>
      <c r="G21" s="255">
        <f>F21/H21%</f>
        <v/>
      </c>
      <c r="H21" s="273">
        <f>SUM(H20)</f>
        <v/>
      </c>
    </row>
    <row r="22">
      <c r="A22" s="231" t="inlineStr">
        <is>
          <t>พี่อ้อมใจ</t>
        </is>
      </c>
      <c r="B22" s="237" t="inlineStr">
        <is>
          <t>PMA19 Chilled</t>
        </is>
      </c>
      <c r="C22" s="237" t="inlineStr">
        <is>
          <t>กลุ่มเส้น</t>
        </is>
      </c>
      <c r="D22" s="241" t="n">
        <v>6</v>
      </c>
      <c r="E22" s="246">
        <f>(D22+D23+D24+D25+D26+D27)/H22%</f>
        <v/>
      </c>
      <c r="F22" s="235" t="n">
        <v>0</v>
      </c>
      <c r="G22" s="252">
        <f>F22/H22%</f>
        <v/>
      </c>
      <c r="H22" s="268">
        <f>D22+D23+D24+D25+D26+D27+F22</f>
        <v/>
      </c>
    </row>
    <row r="23">
      <c r="A23" s="232" t="n"/>
      <c r="B23" s="114" t="n"/>
      <c r="C23" s="114" t="inlineStr">
        <is>
          <t>กับข้าว</t>
        </is>
      </c>
      <c r="D23" s="242" t="n">
        <v>6</v>
      </c>
      <c r="E23" s="806" t="n"/>
      <c r="F23" s="806" t="n"/>
      <c r="G23" s="806" t="n"/>
      <c r="H23" s="807" t="n"/>
    </row>
    <row r="24">
      <c r="A24" s="232" t="n"/>
      <c r="B24" s="114" t="n"/>
      <c r="C24" s="114" t="inlineStr">
        <is>
          <t>ข้าว-กับข้าว</t>
        </is>
      </c>
      <c r="D24" s="242" t="n">
        <v>8</v>
      </c>
      <c r="E24" s="806" t="n"/>
      <c r="F24" s="806" t="n"/>
      <c r="G24" s="806" t="n"/>
      <c r="H24" s="807" t="n"/>
    </row>
    <row r="25">
      <c r="A25" s="232" t="n"/>
      <c r="B25" s="114" t="n"/>
      <c r="C25" s="114" t="inlineStr">
        <is>
          <t>ข้าวผัด</t>
        </is>
      </c>
      <c r="D25" s="242" t="n">
        <v>5</v>
      </c>
      <c r="E25" s="806" t="n"/>
      <c r="F25" s="806" t="n"/>
      <c r="G25" s="806" t="n"/>
      <c r="H25" s="807" t="n"/>
    </row>
    <row r="26">
      <c r="A26" s="232" t="n"/>
      <c r="B26" s="114" t="n"/>
      <c r="C26" s="114" t="inlineStr">
        <is>
          <t>โจ๊ก</t>
        </is>
      </c>
      <c r="D26" s="242" t="n">
        <v>2</v>
      </c>
      <c r="E26" s="806" t="n"/>
      <c r="F26" s="806" t="n"/>
      <c r="G26" s="806" t="n"/>
      <c r="H26" s="807" t="n"/>
    </row>
    <row r="27" ht="15" customHeight="1" thickBot="1">
      <c r="A27" s="232" t="n"/>
      <c r="B27" s="114" t="n"/>
      <c r="C27" s="114" t="inlineStr">
        <is>
          <t>กลุ่มยำ</t>
        </is>
      </c>
      <c r="D27" s="242" t="n">
        <v>2</v>
      </c>
      <c r="E27" s="801" t="n"/>
      <c r="F27" s="801" t="n"/>
      <c r="G27" s="801" t="n"/>
      <c r="H27" s="802" t="n"/>
    </row>
    <row r="28" ht="15" customFormat="1" customHeight="1" s="11" thickBot="1">
      <c r="A28" s="803" t="inlineStr">
        <is>
          <t>Total</t>
        </is>
      </c>
      <c r="B28" s="804" t="n"/>
      <c r="C28" s="805" t="n"/>
      <c r="D28" s="264">
        <f>SUM(D22:D27)</f>
        <v/>
      </c>
      <c r="E28" s="249">
        <f>D28/H28%</f>
        <v/>
      </c>
      <c r="F28" s="260">
        <f>SUM(F22)</f>
        <v/>
      </c>
      <c r="G28" s="255">
        <f>F28/H28%</f>
        <v/>
      </c>
      <c r="H28" s="273">
        <f>SUM(H22:H27)</f>
        <v/>
      </c>
    </row>
    <row r="29">
      <c r="A29" s="231" t="inlineStr">
        <is>
          <t>พี่อ๊อก&amp;พี่หยิม</t>
        </is>
      </c>
      <c r="B29" s="279" t="inlineStr">
        <is>
          <t>PMA19 โครงการพิเศษ</t>
        </is>
      </c>
      <c r="C29" s="279" t="n"/>
      <c r="D29" s="241" t="n">
        <v>0</v>
      </c>
      <c r="E29" s="246">
        <f>D29/H29%</f>
        <v/>
      </c>
      <c r="F29" s="235" t="n">
        <v>6</v>
      </c>
      <c r="G29" s="252">
        <f>F29/H29%</f>
        <v/>
      </c>
      <c r="H29" s="268">
        <f>D29+F29</f>
        <v/>
      </c>
    </row>
    <row r="30">
      <c r="A30" s="232" t="n"/>
      <c r="B30" s="226" t="inlineStr">
        <is>
          <t>PMA22 โครงการพิเศษ</t>
        </is>
      </c>
      <c r="C30" s="226" t="inlineStr">
        <is>
          <t>ข้าว-กับข้าว</t>
        </is>
      </c>
      <c r="D30" s="242" t="n">
        <v>1</v>
      </c>
      <c r="E30" s="263">
        <f>D30/H30%</f>
        <v/>
      </c>
      <c r="F30" s="228" t="n">
        <v>0</v>
      </c>
      <c r="G30" s="266">
        <f>F30/H30%</f>
        <v/>
      </c>
      <c r="H30" s="274">
        <f>D30+F30</f>
        <v/>
      </c>
    </row>
    <row r="31">
      <c r="A31" s="232" t="n"/>
      <c r="B31" s="226" t="inlineStr">
        <is>
          <t>PMA06 โครงการพิเศษ</t>
        </is>
      </c>
      <c r="C31" s="226" t="inlineStr">
        <is>
          <t>RM</t>
        </is>
      </c>
      <c r="D31" s="242" t="n">
        <v>1</v>
      </c>
      <c r="E31" s="263">
        <f>(D31+D32)/H31%</f>
        <v/>
      </c>
      <c r="F31" s="228" t="n">
        <v>4</v>
      </c>
      <c r="G31" s="266">
        <f>F31/H31%</f>
        <v/>
      </c>
      <c r="H31" s="274">
        <f>D31+D32+F31</f>
        <v/>
      </c>
    </row>
    <row r="32">
      <c r="A32" s="232" t="n"/>
      <c r="B32" s="226" t="n"/>
      <c r="C32" s="226" t="inlineStr">
        <is>
          <t>Ready Meal</t>
        </is>
      </c>
      <c r="D32" s="242" t="n">
        <v>1</v>
      </c>
      <c r="E32" s="801" t="n"/>
      <c r="F32" s="801" t="n"/>
      <c r="G32" s="801" t="n"/>
      <c r="H32" s="802" t="n"/>
    </row>
    <row r="33">
      <c r="A33" s="232" t="n"/>
      <c r="B33" s="226" t="inlineStr">
        <is>
          <t>non 7-11 โครงการพิเศษ</t>
        </is>
      </c>
      <c r="C33" s="226" t="inlineStr">
        <is>
          <t>กับข้าว</t>
        </is>
      </c>
      <c r="D33" s="242" t="n">
        <v>6</v>
      </c>
      <c r="E33" s="699">
        <f>D33/H33%</f>
        <v/>
      </c>
      <c r="F33" s="698" t="n">
        <v>3</v>
      </c>
      <c r="G33" s="701">
        <f>F33/H33%</f>
        <v/>
      </c>
      <c r="H33" s="700">
        <f>D33+D34+D35+F33</f>
        <v/>
      </c>
    </row>
    <row r="34">
      <c r="A34" s="232" t="n"/>
      <c r="B34" s="226" t="n"/>
      <c r="C34" s="226" t="inlineStr">
        <is>
          <t>ข้าว-กับข้าว</t>
        </is>
      </c>
      <c r="D34" s="242" t="n">
        <v>2</v>
      </c>
      <c r="E34" s="806" t="n"/>
      <c r="F34" s="806" t="n"/>
      <c r="G34" s="806" t="n"/>
      <c r="H34" s="807" t="n"/>
    </row>
    <row r="35" ht="15" customHeight="1" thickBot="1">
      <c r="A35" s="282" t="n"/>
      <c r="B35" s="283" t="n"/>
      <c r="C35" s="283" t="inlineStr">
        <is>
          <t>กลุ่มเส้น</t>
        </is>
      </c>
      <c r="D35" s="277" t="n">
        <v>1</v>
      </c>
      <c r="E35" s="806" t="n"/>
      <c r="F35" s="806" t="n"/>
      <c r="G35" s="806" t="n"/>
      <c r="H35" s="807" t="n"/>
    </row>
    <row r="36" ht="15" customFormat="1" customHeight="1" s="11" thickBot="1">
      <c r="A36" s="83" t="inlineStr">
        <is>
          <t>Total</t>
        </is>
      </c>
      <c r="B36" s="804" t="n"/>
      <c r="C36" s="805" t="n"/>
      <c r="D36" s="264">
        <f>SUM(D29:D35)</f>
        <v/>
      </c>
      <c r="E36" s="249">
        <f>D36/H36%</f>
        <v/>
      </c>
      <c r="F36" s="260">
        <f>SUM(F28:F35)</f>
        <v/>
      </c>
      <c r="G36" s="255">
        <f>F36/H36%</f>
        <v/>
      </c>
      <c r="H36" s="273">
        <f>SUM(H29:H35)</f>
        <v/>
      </c>
    </row>
    <row r="37">
      <c r="A37" s="231" t="inlineStr">
        <is>
          <t>พี่ส้ม</t>
        </is>
      </c>
      <c r="B37" s="287" t="inlineStr">
        <is>
          <t>PMA20 ข้าวFrozen</t>
        </is>
      </c>
      <c r="C37" s="287" t="inlineStr">
        <is>
          <t>ข้าว-กับข้าว</t>
        </is>
      </c>
      <c r="D37" s="241" t="n">
        <v>4</v>
      </c>
      <c r="E37" s="246">
        <f>(D37+D38+D39+D40+D41+D42)/H37%</f>
        <v/>
      </c>
      <c r="F37" s="235" t="n">
        <v>29</v>
      </c>
      <c r="G37" s="252">
        <f>F37/H37%</f>
        <v/>
      </c>
      <c r="H37" s="268">
        <f>D37+D38+D39+D40+D41+D42+F37</f>
        <v/>
      </c>
    </row>
    <row r="38">
      <c r="A38" s="280" t="n"/>
      <c r="B38" s="281" t="n"/>
      <c r="C38" s="281" t="inlineStr">
        <is>
          <t>ซุป</t>
        </is>
      </c>
      <c r="D38" s="265" t="n">
        <v>4</v>
      </c>
      <c r="E38" s="806" t="n"/>
      <c r="F38" s="806" t="n"/>
      <c r="G38" s="806" t="n"/>
      <c r="H38" s="807" t="n"/>
    </row>
    <row r="39">
      <c r="A39" s="280" t="n"/>
      <c r="B39" s="281" t="n"/>
      <c r="C39" s="281" t="inlineStr">
        <is>
          <t>เส้น</t>
        </is>
      </c>
      <c r="D39" s="265" t="n">
        <v>3</v>
      </c>
      <c r="E39" s="806" t="n"/>
      <c r="F39" s="806" t="n"/>
      <c r="G39" s="806" t="n"/>
      <c r="H39" s="807" t="n"/>
    </row>
    <row r="40">
      <c r="A40" s="232" t="n"/>
      <c r="B40" s="227" t="n"/>
      <c r="C40" s="227" t="inlineStr">
        <is>
          <t>กับข้าว</t>
        </is>
      </c>
      <c r="D40" s="242" t="n">
        <v>1</v>
      </c>
      <c r="E40" s="806" t="n"/>
      <c r="F40" s="806" t="n"/>
      <c r="G40" s="806" t="n"/>
      <c r="H40" s="807" t="n"/>
    </row>
    <row r="41">
      <c r="A41" s="232" t="n"/>
      <c r="B41" s="227" t="n"/>
      <c r="C41" s="227" t="inlineStr">
        <is>
          <t>ข้าว</t>
        </is>
      </c>
      <c r="D41" s="242" t="n">
        <v>1</v>
      </c>
      <c r="E41" s="806" t="n"/>
      <c r="F41" s="806" t="n"/>
      <c r="G41" s="806" t="n"/>
      <c r="H41" s="807" t="n"/>
    </row>
    <row r="42">
      <c r="A42" s="232" t="n"/>
      <c r="B42" s="227" t="n"/>
      <c r="C42" s="227" t="inlineStr">
        <is>
          <t>ข้าวผัด</t>
        </is>
      </c>
      <c r="D42" s="242" t="n">
        <v>4</v>
      </c>
      <c r="E42" s="801" t="n"/>
      <c r="F42" s="801" t="n"/>
      <c r="G42" s="801" t="n"/>
      <c r="H42" s="802" t="n"/>
    </row>
    <row r="43" ht="15" customHeight="1" thickBot="1">
      <c r="A43" s="288" t="n"/>
      <c r="B43" s="289" t="inlineStr">
        <is>
          <t>ส่งออก ทีมข้าวFrozen</t>
        </is>
      </c>
      <c r="C43" s="289" t="n"/>
      <c r="D43" s="290" t="n">
        <v>0</v>
      </c>
      <c r="E43" s="291">
        <f>D43/H43%</f>
        <v/>
      </c>
      <c r="F43" s="292" t="n">
        <v>3</v>
      </c>
      <c r="G43" s="293">
        <f>F43/H43%</f>
        <v/>
      </c>
      <c r="H43" s="294">
        <f>D43+F43</f>
        <v/>
      </c>
    </row>
    <row r="44" ht="15" customFormat="1" customHeight="1" s="11" thickBot="1">
      <c r="A44" s="803" t="inlineStr">
        <is>
          <t>Total</t>
        </is>
      </c>
      <c r="B44" s="804" t="n"/>
      <c r="C44" s="805" t="n"/>
      <c r="D44" s="264">
        <f>SUM(D37:D43)</f>
        <v/>
      </c>
      <c r="E44" s="249">
        <f>D44/H44%</f>
        <v/>
      </c>
      <c r="F44" s="260">
        <f>SUM(F37:F43)</f>
        <v/>
      </c>
      <c r="G44" s="255">
        <f>F44/H44%</f>
        <v/>
      </c>
      <c r="H44" s="273">
        <f>SUM(H37:H43)</f>
        <v/>
      </c>
    </row>
    <row r="45">
      <c r="A45" s="280" t="inlineStr">
        <is>
          <t>พี่ยุ้ย</t>
        </is>
      </c>
      <c r="B45" s="286" t="inlineStr">
        <is>
          <t>PMA20 ทอด</t>
        </is>
      </c>
      <c r="C45" s="286" t="inlineStr">
        <is>
          <t>กับข้าว</t>
        </is>
      </c>
      <c r="D45" s="265" t="n">
        <v>1</v>
      </c>
      <c r="E45" s="697">
        <f>D45/H45%</f>
        <v/>
      </c>
      <c r="F45" s="685" t="n">
        <v>0</v>
      </c>
      <c r="G45" s="682">
        <f>F45/H45%</f>
        <v/>
      </c>
      <c r="H45" s="679">
        <f>D45+F45</f>
        <v/>
      </c>
    </row>
    <row r="46" ht="15" customHeight="1" thickBot="1">
      <c r="A46" s="238" t="n"/>
      <c r="B46" s="204" t="inlineStr">
        <is>
          <t>Snack ส่งออก</t>
        </is>
      </c>
      <c r="C46" s="204" t="inlineStr">
        <is>
          <t>ทอด</t>
        </is>
      </c>
      <c r="D46" s="243" t="n">
        <v>2</v>
      </c>
      <c r="E46" s="699">
        <f>D46/H46%</f>
        <v/>
      </c>
      <c r="F46" s="698" t="n">
        <v>43</v>
      </c>
      <c r="G46" s="701">
        <f>F46/H46%</f>
        <v/>
      </c>
      <c r="H46" s="700">
        <f>D46+F46</f>
        <v/>
      </c>
    </row>
    <row r="47" ht="15" customFormat="1" customHeight="1" s="11" thickBot="1">
      <c r="A47" s="803" t="inlineStr">
        <is>
          <t>Total</t>
        </is>
      </c>
      <c r="B47" s="804" t="n"/>
      <c r="C47" s="805" t="n"/>
      <c r="D47" s="264">
        <f>SUM(D45:D46)</f>
        <v/>
      </c>
      <c r="E47" s="249">
        <f>D47/H47%</f>
        <v/>
      </c>
      <c r="F47" s="260">
        <f>SUM(F45:F46)</f>
        <v/>
      </c>
      <c r="G47" s="255">
        <f>F47/H47%</f>
        <v/>
      </c>
      <c r="H47" s="273">
        <f>SUM(H45:H46)</f>
        <v/>
      </c>
    </row>
    <row r="48" ht="15" customHeight="1" thickBot="1">
      <c r="A48" s="233" t="inlineStr">
        <is>
          <t>พี่นิค</t>
        </is>
      </c>
      <c r="B48" s="295" t="inlineStr">
        <is>
          <t>ติ่มซำส่งออก</t>
        </is>
      </c>
      <c r="C48" s="295" t="inlineStr">
        <is>
          <t>ติ่มซำ</t>
        </is>
      </c>
      <c r="D48" s="296" t="n">
        <v>10</v>
      </c>
      <c r="E48" s="297">
        <f>D48/H48%</f>
        <v/>
      </c>
      <c r="F48" s="298" t="n">
        <v>41</v>
      </c>
      <c r="G48" s="299">
        <f>F48/H48%</f>
        <v/>
      </c>
      <c r="H48" s="300">
        <f>D48+F48</f>
        <v/>
      </c>
    </row>
    <row r="49" ht="15" customFormat="1" customHeight="1" s="11" thickBot="1">
      <c r="A49" s="808" t="inlineStr">
        <is>
          <t>Total</t>
        </is>
      </c>
      <c r="B49" s="809" t="n"/>
      <c r="C49" s="810" t="n"/>
      <c r="D49" s="284">
        <f>SUM(D48:D48)</f>
        <v/>
      </c>
      <c r="E49" s="696">
        <f>D49/H49%</f>
        <v/>
      </c>
      <c r="F49" s="684" t="n">
        <v>41</v>
      </c>
      <c r="G49" s="681">
        <f>F49/H49%</f>
        <v/>
      </c>
      <c r="H49" s="285">
        <f>SUM(H48:H48)</f>
        <v/>
      </c>
    </row>
    <row r="50" ht="15" customHeight="1" thickBot="1">
      <c r="A50" s="83" t="inlineStr">
        <is>
          <t>Grand Total</t>
        </is>
      </c>
      <c r="B50" s="804" t="n"/>
      <c r="C50" s="805" t="n"/>
      <c r="D50" s="264">
        <f>D10+D17+D19+D21+D28+D36+D44+D47+D49</f>
        <v/>
      </c>
      <c r="E50" s="249">
        <f>D50/H50%</f>
        <v/>
      </c>
      <c r="F50" s="260">
        <f>F10+F17+F19+F21+F28+F36+F44+F47+F49</f>
        <v/>
      </c>
      <c r="G50" s="255">
        <f>F50/H50%</f>
        <v/>
      </c>
      <c r="H50" s="273">
        <f>H10+H17+H19+H21+H28+H36+H44+H47+H49</f>
        <v/>
      </c>
    </row>
  </sheetData>
  <mergeCells count="39">
    <mergeCell ref="E5:E6"/>
    <mergeCell ref="F11:F16"/>
    <mergeCell ref="G7:G8"/>
    <mergeCell ref="G11:G16"/>
    <mergeCell ref="A21:C21"/>
    <mergeCell ref="A1:H1"/>
    <mergeCell ref="F5:F6"/>
    <mergeCell ref="A50:C50"/>
    <mergeCell ref="H31:H32"/>
    <mergeCell ref="A47:C47"/>
    <mergeCell ref="H33:H35"/>
    <mergeCell ref="A17:C17"/>
    <mergeCell ref="H7:H8"/>
    <mergeCell ref="H11:H16"/>
    <mergeCell ref="E31:E32"/>
    <mergeCell ref="E33:E35"/>
    <mergeCell ref="G37:G42"/>
    <mergeCell ref="A10:C10"/>
    <mergeCell ref="G5:G6"/>
    <mergeCell ref="F31:F32"/>
    <mergeCell ref="A28:C28"/>
    <mergeCell ref="A19:C19"/>
    <mergeCell ref="A44:C44"/>
    <mergeCell ref="F22:F27"/>
    <mergeCell ref="H22:H27"/>
    <mergeCell ref="E7:E8"/>
    <mergeCell ref="E11:E16"/>
    <mergeCell ref="H37:H42"/>
    <mergeCell ref="H5:H6"/>
    <mergeCell ref="A49:C49"/>
    <mergeCell ref="A36:C36"/>
    <mergeCell ref="F37:F42"/>
    <mergeCell ref="F33:F35"/>
    <mergeCell ref="F7:F8"/>
    <mergeCell ref="G31:G32"/>
    <mergeCell ref="G33:G35"/>
    <mergeCell ref="E22:E27"/>
    <mergeCell ref="G22:G27"/>
    <mergeCell ref="E37:E4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AU104"/>
  <sheetViews>
    <sheetView topLeftCell="B43" zoomScale="85" zoomScaleNormal="85" zoomScaleSheetLayoutView="85" workbookViewId="0">
      <selection activeCell="K27" sqref="J27:K27"/>
    </sheetView>
  </sheetViews>
  <sheetFormatPr baseColWidth="8" defaultRowHeight="14.25"/>
  <cols>
    <col width="22" customWidth="1" min="1" max="1"/>
    <col width="4.875" customWidth="1" min="2" max="5"/>
    <col width="6.625" customWidth="1" min="6" max="7"/>
    <col width="8.875" customWidth="1" min="8" max="8"/>
    <col width="7.875" customWidth="1" min="9" max="11"/>
    <col width="4.875" customWidth="1" min="12" max="15"/>
    <col width="7.125" customWidth="1" min="16" max="16"/>
    <col width="7.75" customWidth="1" min="17" max="17"/>
    <col width="10" customWidth="1" min="18" max="18"/>
    <col width="7.75" customWidth="1" min="19" max="21"/>
    <col width="4.875" customWidth="1" min="22" max="23"/>
    <col width="5" customWidth="1" min="24" max="25"/>
    <col width="6.625" customWidth="1" min="26" max="27"/>
    <col width="8.875" customWidth="1" min="28" max="28"/>
    <col width="7.875" customWidth="1" min="29" max="30"/>
    <col width="7.75" customWidth="1" min="31" max="31"/>
    <col width="13.125" customWidth="1" min="32" max="33"/>
  </cols>
  <sheetData>
    <row r="1" ht="17.45" customHeight="1">
      <c r="A1" s="82" t="inlineStr">
        <is>
          <t>จำนวนสินค้าใหม่ RTE Q1/2023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6" t="n"/>
      <c r="AA1" s="36" t="n"/>
      <c r="AB1" s="36" t="n"/>
      <c r="AC1" s="36" t="n"/>
      <c r="AD1" s="36" t="n"/>
      <c r="AE1" s="36" t="n"/>
      <c r="AF1" s="36" t="n"/>
    </row>
    <row r="2" customFormat="1" s="5">
      <c r="A2" s="811" t="inlineStr">
        <is>
          <t>กลุ่มสินค้า</t>
        </is>
      </c>
      <c r="B2" s="812" t="n">
        <v>44927</v>
      </c>
      <c r="C2" s="813" t="n"/>
      <c r="D2" s="813" t="n"/>
      <c r="E2" s="813" t="n"/>
      <c r="F2" s="813" t="n"/>
      <c r="G2" s="813" t="n"/>
      <c r="H2" s="813" t="n"/>
      <c r="I2" s="813" t="n"/>
      <c r="J2" s="813" t="n"/>
      <c r="K2" s="813" t="n"/>
      <c r="L2" s="814" t="n">
        <v>44958</v>
      </c>
      <c r="M2" s="813" t="n"/>
      <c r="N2" s="813" t="n"/>
      <c r="O2" s="813" t="n"/>
      <c r="P2" s="813" t="n"/>
      <c r="Q2" s="813" t="n"/>
      <c r="R2" s="813" t="n"/>
      <c r="S2" s="813" t="n"/>
      <c r="T2" s="813" t="n"/>
      <c r="U2" s="815" t="n"/>
      <c r="V2" s="816" t="n">
        <v>44986</v>
      </c>
      <c r="W2" s="817" t="n"/>
      <c r="X2" s="817" t="n"/>
      <c r="Y2" s="817" t="n"/>
      <c r="Z2" s="817" t="n"/>
      <c r="AA2" s="817" t="n"/>
      <c r="AB2" s="817" t="n"/>
      <c r="AC2" s="817" t="n"/>
      <c r="AD2" s="817" t="n"/>
      <c r="AE2" s="818" t="n"/>
      <c r="AF2" s="819" t="inlineStr">
        <is>
          <t>Q1/2023</t>
        </is>
      </c>
    </row>
    <row r="3" customFormat="1" s="5">
      <c r="A3" s="820" t="n"/>
      <c r="B3" s="723" t="inlineStr">
        <is>
          <t>แผนขาย</t>
        </is>
      </c>
      <c r="C3" s="342" t="n"/>
      <c r="D3" s="821" t="inlineStr">
        <is>
          <t>ขายได้</t>
        </is>
      </c>
      <c r="E3" s="822" t="n"/>
      <c r="F3" s="823" t="inlineStr">
        <is>
          <t>หยุดพัฒนา</t>
        </is>
      </c>
      <c r="G3" s="822" t="n"/>
      <c r="H3" s="713" t="inlineStr">
        <is>
          <t>พัฒนาทั้งหมด</t>
        </is>
      </c>
      <c r="I3" s="824" t="inlineStr">
        <is>
          <t>%success</t>
        </is>
      </c>
      <c r="J3" s="825" t="n"/>
      <c r="K3" s="826" t="n"/>
      <c r="L3" s="827" t="inlineStr">
        <is>
          <t>แผนขาย</t>
        </is>
      </c>
      <c r="M3" s="822" t="n"/>
      <c r="N3" s="821" t="inlineStr">
        <is>
          <t>ขายได้</t>
        </is>
      </c>
      <c r="O3" s="822" t="n"/>
      <c r="P3" s="823" t="inlineStr">
        <is>
          <t>หยุดพัฒนา</t>
        </is>
      </c>
      <c r="Q3" s="822" t="n"/>
      <c r="R3" s="717" t="inlineStr">
        <is>
          <t>พัฒนาทั้งหมด</t>
        </is>
      </c>
      <c r="S3" s="824" t="inlineStr">
        <is>
          <t>%success</t>
        </is>
      </c>
      <c r="T3" s="825" t="n"/>
      <c r="U3" s="826" t="n"/>
      <c r="V3" s="752" t="inlineStr">
        <is>
          <t>แผนขาย</t>
        </is>
      </c>
      <c r="W3" s="822" t="n"/>
      <c r="X3" s="821" t="inlineStr">
        <is>
          <t>ขายได้</t>
        </is>
      </c>
      <c r="Y3" s="822" t="n"/>
      <c r="Z3" s="823" t="inlineStr">
        <is>
          <t>หยุดพัฒนา</t>
        </is>
      </c>
      <c r="AA3" s="822" t="n"/>
      <c r="AB3" s="717" t="inlineStr">
        <is>
          <t>พัฒนาทั้งหมด</t>
        </is>
      </c>
      <c r="AC3" s="824" t="inlineStr">
        <is>
          <t>%success</t>
        </is>
      </c>
      <c r="AD3" s="825" t="n"/>
      <c r="AE3" s="826" t="n"/>
      <c r="AF3" s="828" t="n"/>
    </row>
    <row r="4" ht="15" customFormat="1" customHeight="1" s="5" thickBot="1">
      <c r="A4" s="829" t="n"/>
      <c r="B4" s="147" t="inlineStr">
        <is>
          <t>New</t>
        </is>
      </c>
      <c r="C4" s="148" t="inlineStr">
        <is>
          <t>Imp</t>
        </is>
      </c>
      <c r="D4" s="9" t="inlineStr">
        <is>
          <t>New</t>
        </is>
      </c>
      <c r="E4" s="9" t="inlineStr">
        <is>
          <t>Imp</t>
        </is>
      </c>
      <c r="F4" s="172" t="inlineStr">
        <is>
          <t>ตามแผน</t>
        </is>
      </c>
      <c r="G4" s="162" t="inlineStr">
        <is>
          <t>นอกแผน</t>
        </is>
      </c>
      <c r="H4" s="830" t="n"/>
      <c r="I4" s="116" t="inlineStr">
        <is>
          <t>New</t>
        </is>
      </c>
      <c r="J4" s="116" t="inlineStr">
        <is>
          <t>Imp</t>
        </is>
      </c>
      <c r="K4" s="115" t="inlineStr">
        <is>
          <t>รวม</t>
        </is>
      </c>
      <c r="L4" s="149" t="inlineStr">
        <is>
          <t>New</t>
        </is>
      </c>
      <c r="M4" s="148" t="inlineStr">
        <is>
          <t>Imp</t>
        </is>
      </c>
      <c r="N4" s="9" t="inlineStr">
        <is>
          <t>New</t>
        </is>
      </c>
      <c r="O4" s="9" t="inlineStr">
        <is>
          <t>Imp</t>
        </is>
      </c>
      <c r="P4" s="172" t="inlineStr">
        <is>
          <t>ตามแผน</t>
        </is>
      </c>
      <c r="Q4" s="162" t="inlineStr">
        <is>
          <t>นอกแผน</t>
        </is>
      </c>
      <c r="R4" s="801" t="n"/>
      <c r="S4" s="116" t="inlineStr">
        <is>
          <t>New</t>
        </is>
      </c>
      <c r="T4" s="116" t="inlineStr">
        <is>
          <t>Imp</t>
        </is>
      </c>
      <c r="U4" s="115" t="inlineStr">
        <is>
          <t>รวม</t>
        </is>
      </c>
      <c r="V4" s="150" t="inlineStr">
        <is>
          <t>New</t>
        </is>
      </c>
      <c r="W4" s="151" t="inlineStr">
        <is>
          <t>Imp</t>
        </is>
      </c>
      <c r="X4" s="38" t="inlineStr">
        <is>
          <t>New</t>
        </is>
      </c>
      <c r="Y4" s="38" t="inlineStr">
        <is>
          <t>Imp</t>
        </is>
      </c>
      <c r="Z4" s="192" t="inlineStr">
        <is>
          <t>ตามแผน</t>
        </is>
      </c>
      <c r="AA4" s="196" t="inlineStr">
        <is>
          <t>นอกแผน</t>
        </is>
      </c>
      <c r="AB4" s="801" t="n"/>
      <c r="AC4" s="116" t="inlineStr">
        <is>
          <t>New</t>
        </is>
      </c>
      <c r="AD4" s="116" t="inlineStr">
        <is>
          <t>Imp</t>
        </is>
      </c>
      <c r="AE4" s="115" t="inlineStr">
        <is>
          <t>รวม</t>
        </is>
      </c>
      <c r="AF4" s="831" t="n"/>
    </row>
    <row r="5">
      <c r="A5" s="44" t="inlineStr">
        <is>
          <t>PMA02</t>
        </is>
      </c>
      <c r="B5" s="118" t="n">
        <v>0</v>
      </c>
      <c r="C5" s="117" t="n">
        <v>0</v>
      </c>
      <c r="D5" s="99" t="n">
        <v>0</v>
      </c>
      <c r="E5" s="100" t="n">
        <v>0</v>
      </c>
      <c r="F5" s="178" t="n"/>
      <c r="G5" s="163" t="n"/>
      <c r="H5" s="99">
        <f>SUM(D5:G5)</f>
        <v/>
      </c>
      <c r="I5" s="121" t="n">
        <v>0</v>
      </c>
      <c r="J5" s="99" t="n">
        <v>0</v>
      </c>
      <c r="K5" s="98" t="n">
        <v>0</v>
      </c>
      <c r="L5" s="118" t="n">
        <v>0</v>
      </c>
      <c r="M5" s="117" t="n">
        <v>0</v>
      </c>
      <c r="N5" s="99" t="n">
        <v>0</v>
      </c>
      <c r="O5" s="100" t="n">
        <v>0</v>
      </c>
      <c r="P5" s="179" t="n"/>
      <c r="Q5" s="164" t="n"/>
      <c r="R5" s="99">
        <f>SUM(N5:Q5)</f>
        <v/>
      </c>
      <c r="S5" s="121" t="n">
        <v>0</v>
      </c>
      <c r="T5" s="99" t="n">
        <v>0</v>
      </c>
      <c r="U5" s="98" t="n">
        <v>0</v>
      </c>
      <c r="V5" s="128" t="n">
        <v>0</v>
      </c>
      <c r="W5" s="117" t="n">
        <v>0</v>
      </c>
      <c r="X5" s="99" t="n">
        <v>0</v>
      </c>
      <c r="Y5" s="100" t="n">
        <v>0</v>
      </c>
      <c r="Z5" s="179" t="n"/>
      <c r="AA5" s="164" t="n"/>
      <c r="AB5" s="146">
        <f>SUM(X5:AA5)</f>
        <v/>
      </c>
      <c r="AC5" s="121" t="n">
        <v>0</v>
      </c>
      <c r="AD5" s="99" t="n">
        <v>0</v>
      </c>
      <c r="AE5" s="98" t="n">
        <v>0</v>
      </c>
      <c r="AF5" s="43" t="n">
        <v>0</v>
      </c>
    </row>
    <row r="6">
      <c r="A6" s="44" t="inlineStr">
        <is>
          <t>PMA08</t>
        </is>
      </c>
      <c r="B6" s="101" t="n">
        <v>1</v>
      </c>
      <c r="C6" s="108" t="n">
        <v>0</v>
      </c>
      <c r="D6" s="4" t="n">
        <v>1</v>
      </c>
      <c r="E6" s="6" t="n">
        <v>0</v>
      </c>
      <c r="F6" s="179" t="n"/>
      <c r="G6" s="164" t="n"/>
      <c r="H6" s="41">
        <f>SUM(D6:G6)</f>
        <v/>
      </c>
      <c r="I6" s="42">
        <f>D6/B6%</f>
        <v/>
      </c>
      <c r="J6" s="41" t="n">
        <v>0</v>
      </c>
      <c r="K6" s="98">
        <f>(D6+E6)/(B6+C6)%</f>
        <v/>
      </c>
      <c r="L6" s="101" t="n">
        <v>0</v>
      </c>
      <c r="M6" s="108" t="n">
        <v>1</v>
      </c>
      <c r="N6" s="4" t="n">
        <v>0</v>
      </c>
      <c r="O6" s="6" t="n">
        <v>1</v>
      </c>
      <c r="P6" s="179" t="n"/>
      <c r="Q6" s="164" t="n"/>
      <c r="R6" s="41">
        <f>SUM(N6:Q6)</f>
        <v/>
      </c>
      <c r="S6" s="42" t="n">
        <v>0</v>
      </c>
      <c r="T6" s="41">
        <f>O6/M6%</f>
        <v/>
      </c>
      <c r="U6" s="98">
        <f>(N6+O6)/(L6+M6)%</f>
        <v/>
      </c>
      <c r="V6" s="101" t="n">
        <v>0</v>
      </c>
      <c r="W6" s="108" t="n">
        <v>0</v>
      </c>
      <c r="X6" s="4" t="n">
        <v>0</v>
      </c>
      <c r="Y6" s="6" t="n">
        <v>0</v>
      </c>
      <c r="Z6" s="179" t="n"/>
      <c r="AA6" s="164" t="n"/>
      <c r="AB6" s="41">
        <f>SUM(X6:AA6)</f>
        <v/>
      </c>
      <c r="AC6" s="42" t="n">
        <v>0</v>
      </c>
      <c r="AD6" s="41" t="n">
        <v>0</v>
      </c>
      <c r="AE6" s="98" t="n">
        <v>0</v>
      </c>
      <c r="AF6" s="43">
        <f>(D6+E6+N6+O6+X6+Y6)/(B6+C6+L6+M6+V6+W6)*100</f>
        <v/>
      </c>
    </row>
    <row r="7">
      <c r="A7" s="44" t="inlineStr">
        <is>
          <t>PMA22 ข้าวเหนียว</t>
        </is>
      </c>
      <c r="B7" s="101" t="n">
        <v>0</v>
      </c>
      <c r="C7" s="108" t="n">
        <v>0</v>
      </c>
      <c r="D7" s="4" t="n">
        <v>0</v>
      </c>
      <c r="E7" s="6" t="n">
        <v>0</v>
      </c>
      <c r="F7" s="179" t="n"/>
      <c r="G7" s="164" t="n"/>
      <c r="H7" s="41">
        <f>SUM(D7:G7)</f>
        <v/>
      </c>
      <c r="I7" s="42" t="n">
        <v>0</v>
      </c>
      <c r="J7" s="41" t="n">
        <v>0</v>
      </c>
      <c r="K7" s="98" t="n">
        <v>0</v>
      </c>
      <c r="L7" s="101" t="n">
        <v>0</v>
      </c>
      <c r="M7" s="108" t="n">
        <v>0</v>
      </c>
      <c r="N7" s="4" t="n">
        <v>0</v>
      </c>
      <c r="O7" s="6" t="n">
        <v>0</v>
      </c>
      <c r="P7" s="179" t="n"/>
      <c r="Q7" s="164" t="n"/>
      <c r="R7" s="41">
        <f>SUM(N7:Q7)</f>
        <v/>
      </c>
      <c r="S7" s="42" t="n">
        <v>0</v>
      </c>
      <c r="T7" s="41" t="n">
        <v>0</v>
      </c>
      <c r="U7" s="98" t="n">
        <v>0</v>
      </c>
      <c r="V7" s="101" t="n">
        <v>0</v>
      </c>
      <c r="W7" s="108" t="n">
        <v>0</v>
      </c>
      <c r="X7" s="4" t="n">
        <v>0</v>
      </c>
      <c r="Y7" s="6" t="n">
        <v>0</v>
      </c>
      <c r="Z7" s="179" t="n"/>
      <c r="AA7" s="164" t="n"/>
      <c r="AB7" s="41">
        <f>SUM(X7:AA7)</f>
        <v/>
      </c>
      <c r="AC7" s="42" t="n">
        <v>0</v>
      </c>
      <c r="AD7" s="41" t="n">
        <v>0</v>
      </c>
      <c r="AE7" s="98" t="n">
        <v>0</v>
      </c>
      <c r="AF7" s="43" t="n">
        <v>0</v>
      </c>
    </row>
    <row r="8">
      <c r="A8" s="44" t="inlineStr">
        <is>
          <t>PMA24</t>
        </is>
      </c>
      <c r="B8" s="101" t="n">
        <v>2</v>
      </c>
      <c r="C8" s="108" t="n">
        <v>0</v>
      </c>
      <c r="D8" s="4" t="n">
        <v>2</v>
      </c>
      <c r="E8" s="6" t="n">
        <v>0</v>
      </c>
      <c r="F8" s="179" t="n"/>
      <c r="G8" s="164" t="n">
        <v>1</v>
      </c>
      <c r="H8" s="41">
        <f>SUM(D8:G8)</f>
        <v/>
      </c>
      <c r="I8" s="42">
        <f>D8/B8%</f>
        <v/>
      </c>
      <c r="J8" s="41" t="n">
        <v>0</v>
      </c>
      <c r="K8" s="98">
        <f>(D8+E8)/(B8+C8)%</f>
        <v/>
      </c>
      <c r="L8" s="101" t="n">
        <v>2</v>
      </c>
      <c r="M8" s="108" t="n">
        <v>1</v>
      </c>
      <c r="N8" s="4" t="n">
        <v>2</v>
      </c>
      <c r="O8" s="6" t="n">
        <v>1</v>
      </c>
      <c r="P8" s="179" t="n"/>
      <c r="Q8" s="164" t="n">
        <v>1</v>
      </c>
      <c r="R8" s="41">
        <f>SUM(N8:Q8)</f>
        <v/>
      </c>
      <c r="S8" s="42">
        <f>N8/L8%</f>
        <v/>
      </c>
      <c r="T8" s="41">
        <f>O8/M8%</f>
        <v/>
      </c>
      <c r="U8" s="98">
        <f>(N8+O8)/(L8+M8)%</f>
        <v/>
      </c>
      <c r="V8" s="101" t="n">
        <v>0</v>
      </c>
      <c r="W8" s="108" t="n">
        <v>0</v>
      </c>
      <c r="X8" s="4" t="n">
        <v>0</v>
      </c>
      <c r="Y8" s="6" t="n">
        <v>0</v>
      </c>
      <c r="Z8" s="179" t="n"/>
      <c r="AA8" s="164" t="n"/>
      <c r="AB8" s="41">
        <f>SUM(X8:AA8)</f>
        <v/>
      </c>
      <c r="AC8" s="42" t="n">
        <v>0</v>
      </c>
      <c r="AD8" s="41" t="n">
        <v>0</v>
      </c>
      <c r="AE8" s="98" t="n">
        <v>0</v>
      </c>
      <c r="AF8" s="43">
        <f>(D8+E8+N8+O8+X8+Y8)/(B8+C8+L8+M8+V8+W8)*100</f>
        <v/>
      </c>
    </row>
    <row r="9">
      <c r="A9" s="44" t="inlineStr">
        <is>
          <t>PMA16</t>
        </is>
      </c>
      <c r="B9" s="101" t="n">
        <v>0</v>
      </c>
      <c r="C9" s="108" t="n">
        <v>0</v>
      </c>
      <c r="D9" s="6" t="n">
        <v>0</v>
      </c>
      <c r="E9" s="4" t="n">
        <v>0</v>
      </c>
      <c r="F9" s="174" t="n"/>
      <c r="G9" s="164" t="n"/>
      <c r="H9" s="41">
        <f>SUM(D9:G9)</f>
        <v/>
      </c>
      <c r="I9" s="42" t="n">
        <v>0</v>
      </c>
      <c r="J9" s="41" t="n">
        <v>0</v>
      </c>
      <c r="K9" s="98" t="n">
        <v>0</v>
      </c>
      <c r="L9" s="101" t="n">
        <v>1</v>
      </c>
      <c r="M9" s="108" t="n">
        <v>0</v>
      </c>
      <c r="N9" s="4" t="n">
        <v>1</v>
      </c>
      <c r="O9" s="6" t="n">
        <v>0</v>
      </c>
      <c r="P9" s="179" t="n"/>
      <c r="Q9" s="164" t="n"/>
      <c r="R9" s="51">
        <f>SUM(N9:Q9)</f>
        <v/>
      </c>
      <c r="S9" s="4">
        <f>N9/L9%</f>
        <v/>
      </c>
      <c r="T9" s="41" t="n">
        <v>0</v>
      </c>
      <c r="U9" s="98">
        <f>(N9+O9)/(L9+M9)%</f>
        <v/>
      </c>
      <c r="V9" s="101" t="n">
        <v>0</v>
      </c>
      <c r="W9" s="108" t="n">
        <v>0</v>
      </c>
      <c r="X9" s="4" t="n">
        <v>0</v>
      </c>
      <c r="Y9" s="6" t="n">
        <v>0</v>
      </c>
      <c r="Z9" s="179" t="n"/>
      <c r="AA9" s="164" t="n"/>
      <c r="AB9" s="41">
        <f>SUM(X9:AA9)</f>
        <v/>
      </c>
      <c r="AC9" s="42" t="n">
        <v>0</v>
      </c>
      <c r="AD9" s="41" t="n">
        <v>0</v>
      </c>
      <c r="AE9" s="98" t="n">
        <v>0</v>
      </c>
      <c r="AF9" s="43">
        <f>(D9+E9+N9+O9+X9+Y9)/(B9+C9+L9+M9+V9+W9)*100</f>
        <v/>
      </c>
    </row>
    <row r="10">
      <c r="A10" s="44" t="inlineStr">
        <is>
          <t>PMA19 ข้าวปั้น</t>
        </is>
      </c>
      <c r="B10" s="101" t="n">
        <v>0</v>
      </c>
      <c r="C10" s="108" t="n">
        <v>0</v>
      </c>
      <c r="D10" s="107" t="n">
        <v>0</v>
      </c>
      <c r="E10" s="107" t="n">
        <v>0</v>
      </c>
      <c r="F10" s="180" t="n"/>
      <c r="G10" s="165" t="n"/>
      <c r="H10" s="41">
        <f>SUM(D10:G10)</f>
        <v/>
      </c>
      <c r="I10" s="42" t="n">
        <v>0</v>
      </c>
      <c r="J10" s="41" t="n">
        <v>0</v>
      </c>
      <c r="K10" s="98" t="n">
        <v>0</v>
      </c>
      <c r="L10" s="101" t="n">
        <v>0</v>
      </c>
      <c r="M10" s="108" t="n">
        <v>0</v>
      </c>
      <c r="N10" s="4" t="n">
        <v>0</v>
      </c>
      <c r="O10" s="6" t="n">
        <v>0</v>
      </c>
      <c r="P10" s="187" t="n"/>
      <c r="Q10" s="193" t="n">
        <v>1</v>
      </c>
      <c r="R10" s="126">
        <f>SUM(N10:Q10)</f>
        <v/>
      </c>
      <c r="S10" s="41" t="n">
        <v>0</v>
      </c>
      <c r="T10" s="41" t="n">
        <v>0</v>
      </c>
      <c r="U10" s="98" t="n">
        <v>0</v>
      </c>
      <c r="V10" s="101" t="n">
        <v>0</v>
      </c>
      <c r="W10" s="108" t="n">
        <v>0</v>
      </c>
      <c r="X10" s="4" t="n">
        <v>0</v>
      </c>
      <c r="Y10" s="6" t="n">
        <v>0</v>
      </c>
      <c r="Z10" s="179" t="n"/>
      <c r="AA10" s="164" t="n"/>
      <c r="AB10" s="41">
        <f>SUM(X10:AA10)</f>
        <v/>
      </c>
      <c r="AC10" s="42" t="n">
        <v>0</v>
      </c>
      <c r="AD10" s="41" t="n">
        <v>0</v>
      </c>
      <c r="AE10" s="98" t="n">
        <v>0</v>
      </c>
      <c r="AF10" s="43" t="n">
        <v>0</v>
      </c>
    </row>
    <row r="11">
      <c r="A11" s="44" t="inlineStr">
        <is>
          <t>PMA19 Chilled</t>
        </is>
      </c>
      <c r="B11" s="101" t="n">
        <v>9</v>
      </c>
      <c r="C11" s="108" t="n">
        <v>0</v>
      </c>
      <c r="D11" s="4" t="n">
        <v>9</v>
      </c>
      <c r="E11" s="6" t="n">
        <v>0</v>
      </c>
      <c r="F11" s="175" t="n"/>
      <c r="G11" s="166" t="n"/>
      <c r="H11" s="41">
        <f>SUM(D11:G11)</f>
        <v/>
      </c>
      <c r="I11" s="42">
        <f>D11/B11%</f>
        <v/>
      </c>
      <c r="J11" s="41" t="n">
        <v>0</v>
      </c>
      <c r="K11" s="98">
        <f>(D11+E11)/(B11+C11)%</f>
        <v/>
      </c>
      <c r="L11" s="101" t="n">
        <v>2</v>
      </c>
      <c r="M11" s="108" t="n">
        <v>0</v>
      </c>
      <c r="N11" s="4" t="n">
        <v>2</v>
      </c>
      <c r="O11" s="6" t="n">
        <v>0</v>
      </c>
      <c r="P11" s="175" t="n"/>
      <c r="Q11" s="166" t="n"/>
      <c r="R11" s="40">
        <f>SUM(N11:Q11)</f>
        <v/>
      </c>
      <c r="S11" s="41">
        <f>N11/L11%</f>
        <v/>
      </c>
      <c r="T11" s="41" t="n">
        <v>0</v>
      </c>
      <c r="U11" s="98">
        <f>(N11+O11)/(L11+M11)%</f>
        <v/>
      </c>
      <c r="V11" s="101" t="n">
        <v>1</v>
      </c>
      <c r="W11" s="108" t="n">
        <v>0</v>
      </c>
      <c r="X11" s="4" t="n">
        <v>1</v>
      </c>
      <c r="Y11" s="6" t="n">
        <v>0</v>
      </c>
      <c r="Z11" s="175" t="n"/>
      <c r="AA11" s="166" t="n"/>
      <c r="AB11" s="40">
        <f>SUM(X11:AA11)</f>
        <v/>
      </c>
      <c r="AC11" s="41">
        <f>X11/V11%</f>
        <v/>
      </c>
      <c r="AD11" s="41" t="n">
        <v>0</v>
      </c>
      <c r="AE11" s="98">
        <f>(X11+Y11)/(V11+W11)%</f>
        <v/>
      </c>
      <c r="AF11" s="43">
        <f>(D11+E11+N11+O11+X11+Y11)/(B11+C11+L11+M11+V11+W11)*100</f>
        <v/>
      </c>
    </row>
    <row r="12" customFormat="1" s="3">
      <c r="A12" s="91" t="inlineStr">
        <is>
          <t>PMA19 โครงการพิเศษ</t>
        </is>
      </c>
      <c r="B12" s="101" t="n">
        <v>0</v>
      </c>
      <c r="C12" s="108" t="n">
        <v>0</v>
      </c>
      <c r="D12" s="35" t="n">
        <v>0</v>
      </c>
      <c r="E12" s="92" t="n">
        <v>0</v>
      </c>
      <c r="F12" s="181" t="n"/>
      <c r="G12" s="167" t="n">
        <v>6</v>
      </c>
      <c r="H12" s="41">
        <f>SUM(D12:G12)</f>
        <v/>
      </c>
      <c r="I12" s="42" t="n">
        <v>0</v>
      </c>
      <c r="J12" s="41" t="n">
        <v>0</v>
      </c>
      <c r="K12" s="98" t="n">
        <v>0</v>
      </c>
      <c r="L12" s="101" t="n">
        <v>0</v>
      </c>
      <c r="M12" s="108" t="n">
        <v>0</v>
      </c>
      <c r="N12" s="35" t="n">
        <v>0</v>
      </c>
      <c r="O12" s="92" t="n">
        <v>0</v>
      </c>
      <c r="P12" s="188" t="n"/>
      <c r="Q12" s="194" t="n"/>
      <c r="R12" s="40">
        <f>SUM(N12:Q12)</f>
        <v/>
      </c>
      <c r="S12" s="41" t="n">
        <v>0</v>
      </c>
      <c r="T12" s="41" t="n">
        <v>0</v>
      </c>
      <c r="U12" s="98" t="n">
        <v>0</v>
      </c>
      <c r="V12" s="101" t="n">
        <v>0</v>
      </c>
      <c r="W12" s="108" t="n">
        <v>0</v>
      </c>
      <c r="X12" s="35" t="n">
        <v>0</v>
      </c>
      <c r="Y12" s="92" t="n">
        <v>0</v>
      </c>
      <c r="Z12" s="188" t="n"/>
      <c r="AA12" s="194" t="n"/>
      <c r="AB12" s="40">
        <f>SUM(X12:AA12)</f>
        <v/>
      </c>
      <c r="AC12" s="41" t="n">
        <v>0</v>
      </c>
      <c r="AD12" s="41" t="n">
        <v>0</v>
      </c>
      <c r="AE12" s="98" t="n">
        <v>0</v>
      </c>
      <c r="AF12" s="43" t="n">
        <v>0</v>
      </c>
    </row>
    <row r="13">
      <c r="A13" s="69" t="inlineStr">
        <is>
          <t>PMA22 ข้าว Chilled</t>
        </is>
      </c>
      <c r="B13" s="101" t="n">
        <v>0</v>
      </c>
      <c r="C13" s="108" t="n">
        <v>0</v>
      </c>
      <c r="D13" s="4" t="n">
        <v>0</v>
      </c>
      <c r="E13" s="6" t="n">
        <v>0</v>
      </c>
      <c r="F13" s="179" t="n"/>
      <c r="G13" s="164" t="n"/>
      <c r="H13" s="41">
        <f>SUM(D13:G13)</f>
        <v/>
      </c>
      <c r="I13" s="42" t="n">
        <v>0</v>
      </c>
      <c r="J13" s="41" t="n">
        <v>0</v>
      </c>
      <c r="K13" s="98" t="n">
        <v>0</v>
      </c>
      <c r="L13" s="101" t="n">
        <v>0</v>
      </c>
      <c r="M13" s="108" t="n">
        <v>0</v>
      </c>
      <c r="N13" s="4" t="n">
        <v>0</v>
      </c>
      <c r="O13" s="6" t="n">
        <v>0</v>
      </c>
      <c r="P13" s="179" t="n"/>
      <c r="Q13" s="164" t="n"/>
      <c r="R13" s="40">
        <f>SUM(N13:Q13)</f>
        <v/>
      </c>
      <c r="S13" s="41" t="n">
        <v>0</v>
      </c>
      <c r="T13" s="41" t="n">
        <v>0</v>
      </c>
      <c r="U13" s="98" t="n">
        <v>0</v>
      </c>
      <c r="V13" s="101" t="n">
        <v>0</v>
      </c>
      <c r="W13" s="108" t="n">
        <v>0</v>
      </c>
      <c r="X13" s="4" t="n">
        <v>0</v>
      </c>
      <c r="Y13" s="6" t="n">
        <v>0</v>
      </c>
      <c r="Z13" s="179" t="n"/>
      <c r="AA13" s="164" t="n"/>
      <c r="AB13" s="40">
        <f>SUM(X13:AA13)</f>
        <v/>
      </c>
      <c r="AC13" s="41" t="n">
        <v>0</v>
      </c>
      <c r="AD13" s="41" t="n">
        <v>0</v>
      </c>
      <c r="AE13" s="98" t="n">
        <v>0</v>
      </c>
      <c r="AF13" s="43" t="n">
        <v>0</v>
      </c>
    </row>
    <row r="14">
      <c r="A14" s="69" t="inlineStr">
        <is>
          <t>PMA22 โครงการพิเศษ</t>
        </is>
      </c>
      <c r="B14" s="101" t="n">
        <v>0</v>
      </c>
      <c r="C14" s="108" t="n">
        <v>0</v>
      </c>
      <c r="D14" s="35" t="n">
        <v>0</v>
      </c>
      <c r="E14" s="92" t="n">
        <v>0</v>
      </c>
      <c r="F14" s="181" t="n"/>
      <c r="G14" s="167" t="n"/>
      <c r="H14" s="41">
        <f>SUM(D14:G14)</f>
        <v/>
      </c>
      <c r="I14" s="42" t="n">
        <v>0</v>
      </c>
      <c r="J14" s="41" t="n">
        <v>0</v>
      </c>
      <c r="K14" s="98" t="n">
        <v>0</v>
      </c>
      <c r="L14" s="101" t="n">
        <v>0</v>
      </c>
      <c r="M14" s="108" t="n">
        <v>0</v>
      </c>
      <c r="N14" s="4" t="n">
        <v>0</v>
      </c>
      <c r="O14" s="6" t="n">
        <v>0</v>
      </c>
      <c r="P14" s="188" t="n"/>
      <c r="Q14" s="194" t="n"/>
      <c r="R14" s="40">
        <f>SUM(N14:Q14)</f>
        <v/>
      </c>
      <c r="S14" s="41" t="n">
        <v>0</v>
      </c>
      <c r="T14" s="41" t="n">
        <v>0</v>
      </c>
      <c r="U14" s="98" t="n">
        <v>0</v>
      </c>
      <c r="V14" s="101" t="n">
        <v>0</v>
      </c>
      <c r="W14" s="108" t="n">
        <v>0</v>
      </c>
      <c r="X14" s="35" t="n">
        <v>0</v>
      </c>
      <c r="Y14" s="92" t="n">
        <v>0</v>
      </c>
      <c r="Z14" s="188" t="n"/>
      <c r="AA14" s="194" t="n"/>
      <c r="AB14" s="40">
        <f>SUM(X14:AA14)</f>
        <v/>
      </c>
      <c r="AC14" s="41" t="n">
        <v>0</v>
      </c>
      <c r="AD14" s="41" t="n">
        <v>0</v>
      </c>
      <c r="AE14" s="98" t="n">
        <v>0</v>
      </c>
      <c r="AF14" s="43" t="n">
        <v>0</v>
      </c>
    </row>
    <row r="15">
      <c r="A15" s="70" t="inlineStr">
        <is>
          <t>PMA20 ข้าวFrozen</t>
        </is>
      </c>
      <c r="B15" s="101" t="n">
        <v>0</v>
      </c>
      <c r="C15" s="108" t="n">
        <v>0</v>
      </c>
      <c r="D15" s="35" t="n">
        <v>0</v>
      </c>
      <c r="E15" s="92" t="n">
        <v>0</v>
      </c>
      <c r="F15" s="181" t="n"/>
      <c r="G15" s="167" t="n">
        <v>1</v>
      </c>
      <c r="H15" s="41">
        <f>SUM(D15:G15)</f>
        <v/>
      </c>
      <c r="I15" s="42" t="n">
        <v>0</v>
      </c>
      <c r="J15" s="41" t="n">
        <v>0</v>
      </c>
      <c r="K15" s="98" t="n">
        <v>0</v>
      </c>
      <c r="L15" s="101" t="n">
        <v>2</v>
      </c>
      <c r="M15" s="108" t="n">
        <v>0</v>
      </c>
      <c r="N15" s="4" t="n">
        <v>2</v>
      </c>
      <c r="O15" s="6" t="n">
        <v>0</v>
      </c>
      <c r="P15" s="179" t="n"/>
      <c r="Q15" s="164" t="n">
        <v>1</v>
      </c>
      <c r="R15" s="40">
        <f>SUM(N15:Q15)</f>
        <v/>
      </c>
      <c r="S15" s="41">
        <f>N15/L15%</f>
        <v/>
      </c>
      <c r="T15" s="41" t="n">
        <v>0</v>
      </c>
      <c r="U15" s="98">
        <f>(N15+O15)/(L15+M15)%</f>
        <v/>
      </c>
      <c r="V15" s="101" t="n">
        <v>2</v>
      </c>
      <c r="W15" s="108" t="n">
        <v>3</v>
      </c>
      <c r="X15" s="4" t="n">
        <v>2</v>
      </c>
      <c r="Y15" s="6" t="n">
        <v>3</v>
      </c>
      <c r="Z15" s="179" t="n"/>
      <c r="AA15" s="164" t="n">
        <v>3</v>
      </c>
      <c r="AB15" s="40">
        <f>SUM(X15:AA15)</f>
        <v/>
      </c>
      <c r="AC15" s="41">
        <f>X15/V15%</f>
        <v/>
      </c>
      <c r="AD15" s="41">
        <f>Y15/W15%</f>
        <v/>
      </c>
      <c r="AE15" s="98">
        <f>(X15+Y15)/(V15+W15)%</f>
        <v/>
      </c>
      <c r="AF15" s="43">
        <f>(D15+E15+N15+O15+X15+Y15)/(B15+C15+L15+M15+V15+W15)*100</f>
        <v/>
      </c>
    </row>
    <row r="16">
      <c r="A16" s="69" t="inlineStr">
        <is>
          <t>PMA20 ทอด</t>
        </is>
      </c>
      <c r="B16" s="101" t="n">
        <v>0</v>
      </c>
      <c r="C16" s="108" t="n">
        <v>0</v>
      </c>
      <c r="D16" s="4" t="n">
        <v>0</v>
      </c>
      <c r="E16" s="6" t="n">
        <v>0</v>
      </c>
      <c r="F16" s="179" t="n"/>
      <c r="G16" s="164" t="n"/>
      <c r="H16" s="41">
        <f>SUM(D16:G16)</f>
        <v/>
      </c>
      <c r="I16" s="42" t="n">
        <v>0</v>
      </c>
      <c r="J16" s="41" t="n">
        <v>0</v>
      </c>
      <c r="K16" s="98" t="n">
        <v>0</v>
      </c>
      <c r="L16" s="101" t="n">
        <v>0</v>
      </c>
      <c r="M16" s="108" t="n">
        <v>0</v>
      </c>
      <c r="N16" s="4" t="n">
        <v>0</v>
      </c>
      <c r="O16" s="6" t="n">
        <v>0</v>
      </c>
      <c r="P16" s="179" t="n"/>
      <c r="Q16" s="164" t="n"/>
      <c r="R16" s="40">
        <f>SUM(N16:Q16)</f>
        <v/>
      </c>
      <c r="S16" s="41" t="n">
        <v>0</v>
      </c>
      <c r="T16" s="41" t="n">
        <v>0</v>
      </c>
      <c r="U16" s="98" t="n">
        <v>0</v>
      </c>
      <c r="V16" s="101" t="n">
        <v>0</v>
      </c>
      <c r="W16" s="108" t="n">
        <v>0</v>
      </c>
      <c r="X16" s="4" t="n">
        <v>0</v>
      </c>
      <c r="Y16" s="6" t="n">
        <v>0</v>
      </c>
      <c r="Z16" s="179" t="n"/>
      <c r="AA16" s="164" t="n"/>
      <c r="AB16" s="40">
        <f>SUM(X16:AA16)</f>
        <v/>
      </c>
      <c r="AC16" s="41" t="n">
        <v>0</v>
      </c>
      <c r="AD16" s="41" t="n">
        <v>0</v>
      </c>
      <c r="AE16" s="98" t="n">
        <v>0</v>
      </c>
      <c r="AF16" s="43" t="n">
        <v>0</v>
      </c>
    </row>
    <row r="17">
      <c r="A17" s="69" t="inlineStr">
        <is>
          <t>PMA06 ทอด</t>
        </is>
      </c>
      <c r="B17" s="101" t="n">
        <v>0</v>
      </c>
      <c r="C17" s="108" t="n">
        <v>0</v>
      </c>
      <c r="D17" s="4" t="n">
        <v>0</v>
      </c>
      <c r="E17" s="6" t="n">
        <v>0</v>
      </c>
      <c r="F17" s="179" t="n"/>
      <c r="G17" s="164" t="n"/>
      <c r="H17" s="41">
        <f>SUM(D17:G17)</f>
        <v/>
      </c>
      <c r="I17" s="42" t="n">
        <v>0</v>
      </c>
      <c r="J17" s="41" t="n">
        <v>0</v>
      </c>
      <c r="K17" s="98" t="n">
        <v>0</v>
      </c>
      <c r="L17" s="101" t="n">
        <v>0</v>
      </c>
      <c r="M17" s="108" t="n">
        <v>0</v>
      </c>
      <c r="N17" s="4" t="n">
        <v>0</v>
      </c>
      <c r="O17" s="6" t="n">
        <v>0</v>
      </c>
      <c r="P17" s="179" t="n"/>
      <c r="Q17" s="164" t="n"/>
      <c r="R17" s="40">
        <f>SUM(N17:Q17)</f>
        <v/>
      </c>
      <c r="S17" s="41" t="n">
        <v>0</v>
      </c>
      <c r="T17" s="41" t="n">
        <v>0</v>
      </c>
      <c r="U17" s="98" t="n">
        <v>0</v>
      </c>
      <c r="V17" s="101" t="n">
        <v>0</v>
      </c>
      <c r="W17" s="108" t="n">
        <v>0</v>
      </c>
      <c r="X17" s="4" t="n">
        <v>0</v>
      </c>
      <c r="Y17" s="6" t="n">
        <v>0</v>
      </c>
      <c r="Z17" s="179" t="n"/>
      <c r="AA17" s="164" t="n"/>
      <c r="AB17" s="40">
        <f>SUM(X17:AA17)</f>
        <v/>
      </c>
      <c r="AC17" s="41" t="n">
        <v>0</v>
      </c>
      <c r="AD17" s="41" t="n">
        <v>0</v>
      </c>
      <c r="AE17" s="98" t="n">
        <v>0</v>
      </c>
      <c r="AF17" s="43" t="n">
        <v>0</v>
      </c>
    </row>
    <row r="18">
      <c r="A18" s="69" t="inlineStr">
        <is>
          <t>PMA06 โครงการพิเศษ</t>
        </is>
      </c>
      <c r="B18" s="101" t="n">
        <v>0</v>
      </c>
      <c r="C18" s="108" t="n">
        <v>0</v>
      </c>
      <c r="D18" s="35" t="n">
        <v>0</v>
      </c>
      <c r="E18" s="92" t="n">
        <v>0</v>
      </c>
      <c r="F18" s="182" t="n"/>
      <c r="G18" s="168" t="n">
        <v>2</v>
      </c>
      <c r="H18" s="41">
        <f>SUM(D18:G18)</f>
        <v/>
      </c>
      <c r="I18" s="42" t="n">
        <v>0</v>
      </c>
      <c r="J18" s="41" t="n">
        <v>0</v>
      </c>
      <c r="K18" s="98" t="n">
        <v>0</v>
      </c>
      <c r="L18" s="101" t="n">
        <v>1</v>
      </c>
      <c r="M18" s="108" t="n">
        <v>0</v>
      </c>
      <c r="N18" s="4" t="n">
        <v>1</v>
      </c>
      <c r="O18" s="6" t="n">
        <v>0</v>
      </c>
      <c r="P18" s="180" t="n"/>
      <c r="Q18" s="165" t="n"/>
      <c r="R18" s="40">
        <f>SUM(N18:Q18)</f>
        <v/>
      </c>
      <c r="S18" s="41">
        <f>N18/L18%</f>
        <v/>
      </c>
      <c r="T18" s="41" t="n">
        <v>0</v>
      </c>
      <c r="U18" s="98">
        <f>(N18+O18)/(L18+M18)%</f>
        <v/>
      </c>
      <c r="V18" s="101" t="n">
        <v>0</v>
      </c>
      <c r="W18" s="108" t="n">
        <v>0</v>
      </c>
      <c r="X18" s="35" t="n">
        <v>0</v>
      </c>
      <c r="Y18" s="92" t="n">
        <v>0</v>
      </c>
      <c r="Z18" s="188" t="n"/>
      <c r="AA18" s="194" t="n"/>
      <c r="AB18" s="40">
        <f>SUM(X18:AA18)</f>
        <v/>
      </c>
      <c r="AC18" s="41" t="n">
        <v>0</v>
      </c>
      <c r="AD18" s="41" t="n">
        <v>0</v>
      </c>
      <c r="AE18" s="98" t="n">
        <v>0</v>
      </c>
      <c r="AF18" s="43">
        <f>(D18+E18+N18+O18+X18+Y18)/(B18+C18+L18+M18+V18+W18)*100</f>
        <v/>
      </c>
    </row>
    <row r="19">
      <c r="A19" s="71" t="inlineStr">
        <is>
          <t>PMA76 โครงการพิเศษ</t>
        </is>
      </c>
      <c r="B19" s="101" t="n">
        <v>0</v>
      </c>
      <c r="C19" s="108" t="n">
        <v>0</v>
      </c>
      <c r="D19" s="35" t="n">
        <v>0</v>
      </c>
      <c r="E19" s="92" t="n">
        <v>0</v>
      </c>
      <c r="F19" s="183" t="n"/>
      <c r="G19" s="213" t="n"/>
      <c r="H19" s="123">
        <f>SUM(D19:Q19)</f>
        <v/>
      </c>
      <c r="I19" s="123" t="n">
        <v>0</v>
      </c>
      <c r="J19" s="41" t="n">
        <v>0</v>
      </c>
      <c r="K19" s="98" t="n">
        <v>0</v>
      </c>
      <c r="L19" s="119" t="n">
        <v>0</v>
      </c>
      <c r="M19" s="108" t="n">
        <v>0</v>
      </c>
      <c r="N19" s="41" t="n">
        <v>0</v>
      </c>
      <c r="O19" s="40" t="n">
        <v>0</v>
      </c>
      <c r="P19" s="188" t="n"/>
      <c r="Q19" s="194" t="n"/>
      <c r="R19" s="5">
        <f>SUM(N19:Q19)</f>
        <v/>
      </c>
      <c r="S19" s="41" t="n">
        <v>0</v>
      </c>
      <c r="T19" s="41" t="n">
        <v>0</v>
      </c>
      <c r="U19" s="98" t="n">
        <v>0</v>
      </c>
      <c r="V19" s="101" t="n">
        <v>0</v>
      </c>
      <c r="W19" s="108" t="n">
        <v>0</v>
      </c>
      <c r="X19" s="35" t="n">
        <v>0</v>
      </c>
      <c r="Y19" s="92" t="n">
        <v>0</v>
      </c>
      <c r="Z19" s="188" t="n"/>
      <c r="AA19" s="194" t="n"/>
      <c r="AB19" s="5">
        <f>SUM(X19:AA19)</f>
        <v/>
      </c>
      <c r="AC19" s="41" t="n">
        <v>0</v>
      </c>
      <c r="AD19" s="41" t="n">
        <v>0</v>
      </c>
      <c r="AE19" s="98" t="n">
        <v>0</v>
      </c>
      <c r="AF19" s="43" t="n">
        <v>0</v>
      </c>
    </row>
    <row r="20">
      <c r="A20" s="71" t="inlineStr">
        <is>
          <t>non 7-11 โครงการพิเศษ</t>
        </is>
      </c>
      <c r="B20" s="101" t="n">
        <v>0</v>
      </c>
      <c r="C20" s="108" t="n">
        <v>0</v>
      </c>
      <c r="D20" s="35" t="n">
        <v>0</v>
      </c>
      <c r="E20" s="92" t="n">
        <v>0</v>
      </c>
      <c r="F20" s="188" t="n"/>
      <c r="G20" s="194" t="n">
        <v>2</v>
      </c>
      <c r="H20" s="63">
        <f>SUM(D20:G20)</f>
        <v/>
      </c>
      <c r="I20" s="63" t="n">
        <v>0</v>
      </c>
      <c r="J20" s="42" t="n">
        <v>0</v>
      </c>
      <c r="K20" s="98" t="n">
        <v>0</v>
      </c>
      <c r="L20" s="119" t="n">
        <v>0</v>
      </c>
      <c r="M20" s="108" t="n">
        <v>0</v>
      </c>
      <c r="N20" s="41" t="n">
        <v>0</v>
      </c>
      <c r="O20" s="40" t="n">
        <v>0</v>
      </c>
      <c r="P20" s="188" t="n"/>
      <c r="Q20" s="194" t="n"/>
      <c r="R20" s="126">
        <f>SUM(N20:Q20)</f>
        <v/>
      </c>
      <c r="S20" s="41" t="n">
        <v>0</v>
      </c>
      <c r="T20" s="41" t="n">
        <v>0</v>
      </c>
      <c r="U20" s="98" t="n">
        <v>0</v>
      </c>
      <c r="V20" s="101" t="n">
        <v>0</v>
      </c>
      <c r="W20" s="108" t="n">
        <v>0</v>
      </c>
      <c r="X20" s="35" t="n">
        <v>0</v>
      </c>
      <c r="Y20" s="92" t="n">
        <v>0</v>
      </c>
      <c r="Z20" s="188" t="n"/>
      <c r="AA20" s="194" t="n"/>
      <c r="AB20" s="126">
        <f>SUM(X20:AA20)</f>
        <v/>
      </c>
      <c r="AC20" s="41" t="n">
        <v>0</v>
      </c>
      <c r="AD20" s="41" t="n">
        <v>0</v>
      </c>
      <c r="AE20" s="98" t="n">
        <v>0</v>
      </c>
      <c r="AF20" s="43" t="n">
        <v>0</v>
      </c>
    </row>
    <row r="21">
      <c r="A21" s="97" t="inlineStr">
        <is>
          <t>ติ่มซำ non-7 ในประเทศ</t>
        </is>
      </c>
      <c r="B21" s="119" t="n">
        <v>0</v>
      </c>
      <c r="C21" s="108" t="n">
        <v>0</v>
      </c>
      <c r="D21" s="41" t="n">
        <v>0</v>
      </c>
      <c r="E21" s="40" t="n">
        <v>0</v>
      </c>
      <c r="F21" s="184" t="n"/>
      <c r="G21" s="206" t="n"/>
      <c r="H21" s="63">
        <f>SUM(D21:G21)</f>
        <v/>
      </c>
      <c r="I21" s="63" t="n">
        <v>0</v>
      </c>
      <c r="J21" s="42" t="n">
        <v>0</v>
      </c>
      <c r="K21" s="98" t="n">
        <v>0</v>
      </c>
      <c r="L21" s="119" t="n">
        <v>0</v>
      </c>
      <c r="M21" s="108" t="n">
        <v>0</v>
      </c>
      <c r="N21" s="41" t="n">
        <v>0</v>
      </c>
      <c r="O21" s="40" t="n">
        <v>0</v>
      </c>
      <c r="P21" s="184" t="n"/>
      <c r="Q21" s="210" t="n"/>
      <c r="R21" s="51">
        <f>SUM(N21:Q21)</f>
        <v/>
      </c>
      <c r="S21" s="41" t="n">
        <v>0</v>
      </c>
      <c r="T21" s="41" t="n">
        <v>0</v>
      </c>
      <c r="U21" s="98" t="n">
        <v>0</v>
      </c>
      <c r="V21" s="119" t="n">
        <v>0</v>
      </c>
      <c r="W21" s="108" t="n">
        <v>0</v>
      </c>
      <c r="X21" s="41" t="n">
        <v>0</v>
      </c>
      <c r="Y21" s="40" t="n">
        <v>0</v>
      </c>
      <c r="Z21" s="184" t="n"/>
      <c r="AA21" s="210" t="n"/>
      <c r="AB21" s="51">
        <f>SUM(X21:AA21)</f>
        <v/>
      </c>
      <c r="AC21" s="124" t="n">
        <v>0</v>
      </c>
      <c r="AD21" s="41" t="n">
        <v>0</v>
      </c>
      <c r="AE21" s="98" t="n">
        <v>0</v>
      </c>
      <c r="AF21" s="43" t="n">
        <v>0</v>
      </c>
    </row>
    <row r="22">
      <c r="A22" s="71" t="inlineStr">
        <is>
          <t>ส่งออก โครงการพิเศษ</t>
        </is>
      </c>
      <c r="B22" s="101" t="n">
        <v>0</v>
      </c>
      <c r="C22" s="108" t="n">
        <v>0</v>
      </c>
      <c r="D22" s="35" t="n">
        <v>0</v>
      </c>
      <c r="E22" s="92" t="n">
        <v>0</v>
      </c>
      <c r="F22" s="188" t="n"/>
      <c r="G22" s="194" t="n"/>
      <c r="H22" s="63">
        <f>SUM(D22:G22)</f>
        <v/>
      </c>
      <c r="I22" s="63" t="n">
        <v>0</v>
      </c>
      <c r="J22" s="42" t="n">
        <v>0</v>
      </c>
      <c r="K22" s="98" t="n">
        <v>0</v>
      </c>
      <c r="L22" s="119" t="n">
        <v>0</v>
      </c>
      <c r="M22" s="108" t="n">
        <v>0</v>
      </c>
      <c r="N22" s="41" t="n">
        <v>0</v>
      </c>
      <c r="O22" s="40" t="n">
        <v>0</v>
      </c>
      <c r="P22" s="188" t="n"/>
      <c r="Q22" s="194" t="n"/>
      <c r="R22" s="63">
        <f>SUM(N22:Q22)</f>
        <v/>
      </c>
      <c r="S22" s="42" t="n">
        <v>0</v>
      </c>
      <c r="T22" s="41" t="n">
        <v>0</v>
      </c>
      <c r="U22" s="98" t="n">
        <v>0</v>
      </c>
      <c r="V22" s="101" t="n">
        <v>0</v>
      </c>
      <c r="W22" s="108" t="n">
        <v>0</v>
      </c>
      <c r="X22" s="35" t="n">
        <v>0</v>
      </c>
      <c r="Y22" s="92" t="n">
        <v>0</v>
      </c>
      <c r="Z22" s="188" t="n"/>
      <c r="AA22" s="194" t="n"/>
      <c r="AB22" s="63">
        <f>SUM(X22:AA22)</f>
        <v/>
      </c>
      <c r="AC22" s="63" t="n">
        <v>0</v>
      </c>
      <c r="AD22" s="42" t="n">
        <v>0</v>
      </c>
      <c r="AE22" s="98" t="n">
        <v>0</v>
      </c>
      <c r="AF22" s="43" t="n">
        <v>0</v>
      </c>
    </row>
    <row r="23" customFormat="1" s="89">
      <c r="A23" s="207" t="inlineStr">
        <is>
          <t>ส่่งออก ทีมข้าวFrozen</t>
        </is>
      </c>
      <c r="B23" s="119" t="n">
        <v>0</v>
      </c>
      <c r="C23" s="108" t="n">
        <v>0</v>
      </c>
      <c r="D23" s="215" t="n">
        <v>0</v>
      </c>
      <c r="E23" s="216" t="n">
        <v>0</v>
      </c>
      <c r="F23" s="217" t="n"/>
      <c r="G23" s="218" t="n"/>
      <c r="H23" s="219">
        <f>SUM(D23:G23)</f>
        <v/>
      </c>
      <c r="I23" s="63" t="n">
        <v>0</v>
      </c>
      <c r="J23" s="42" t="n">
        <v>0</v>
      </c>
      <c r="K23" s="98" t="n">
        <v>0</v>
      </c>
      <c r="L23" s="119" t="n">
        <v>0</v>
      </c>
      <c r="M23" s="108" t="n">
        <v>0</v>
      </c>
      <c r="N23" s="215" t="n">
        <v>0</v>
      </c>
      <c r="O23" s="216" t="n">
        <v>0</v>
      </c>
      <c r="P23" s="217" t="n"/>
      <c r="Q23" s="218" t="n"/>
      <c r="R23" s="219">
        <f>SUM(N23:Q23)</f>
        <v/>
      </c>
      <c r="S23" s="63" t="n">
        <v>0</v>
      </c>
      <c r="T23" s="42" t="n">
        <v>0</v>
      </c>
      <c r="U23" s="98" t="n">
        <v>0</v>
      </c>
      <c r="V23" s="119" t="n">
        <v>0</v>
      </c>
      <c r="W23" s="108" t="n">
        <v>0</v>
      </c>
      <c r="X23" s="215" t="n">
        <v>0</v>
      </c>
      <c r="Y23" s="216" t="n">
        <v>0</v>
      </c>
      <c r="Z23" s="217" t="n"/>
      <c r="AA23" s="218" t="n"/>
      <c r="AB23" s="219">
        <f>SUM(X23:AA23)</f>
        <v/>
      </c>
      <c r="AC23" s="63" t="n">
        <v>0</v>
      </c>
      <c r="AD23" s="42" t="n">
        <v>0</v>
      </c>
      <c r="AE23" s="98" t="n">
        <v>0</v>
      </c>
      <c r="AF23" s="43" t="n">
        <v>0</v>
      </c>
    </row>
    <row r="24">
      <c r="A24" s="44" t="inlineStr">
        <is>
          <t>ติ่มซำส่งออก</t>
        </is>
      </c>
      <c r="B24" s="119" t="n">
        <v>2</v>
      </c>
      <c r="C24" s="108" t="n">
        <v>0</v>
      </c>
      <c r="D24" s="41" t="n">
        <v>2</v>
      </c>
      <c r="E24" s="40" t="n">
        <v>0</v>
      </c>
      <c r="F24" s="184" t="n"/>
      <c r="G24" s="206" t="n"/>
      <c r="H24" s="63">
        <f>SUM(D24:G24)</f>
        <v/>
      </c>
      <c r="I24" s="63">
        <f>D24/B24%</f>
        <v/>
      </c>
      <c r="J24" s="42" t="n">
        <v>0</v>
      </c>
      <c r="K24" s="98">
        <f>(D24+E24)/(B24+C24)%</f>
        <v/>
      </c>
      <c r="L24" s="119" t="n">
        <v>0</v>
      </c>
      <c r="M24" s="108" t="n">
        <v>0</v>
      </c>
      <c r="N24" s="41" t="n">
        <v>0</v>
      </c>
      <c r="O24" s="40" t="n">
        <v>0</v>
      </c>
      <c r="P24" s="184" t="n"/>
      <c r="Q24" s="206" t="n"/>
      <c r="R24" s="63">
        <f>SUM(N24:Q24)</f>
        <v/>
      </c>
      <c r="S24" s="42" t="n">
        <v>0</v>
      </c>
      <c r="T24" s="41" t="n">
        <v>0</v>
      </c>
      <c r="U24" s="98" t="n">
        <v>0</v>
      </c>
      <c r="V24" s="119" t="n">
        <v>1</v>
      </c>
      <c r="W24" s="108" t="n">
        <v>0</v>
      </c>
      <c r="X24" s="41" t="n">
        <v>1</v>
      </c>
      <c r="Y24" s="40" t="n">
        <v>0</v>
      </c>
      <c r="Z24" s="184" t="n"/>
      <c r="AA24" s="206" t="n">
        <v>25</v>
      </c>
      <c r="AB24" s="63">
        <f>SUM(X24:AA24)</f>
        <v/>
      </c>
      <c r="AC24" s="63">
        <f>X24/V24%</f>
        <v/>
      </c>
      <c r="AD24" s="42" t="n">
        <v>0</v>
      </c>
      <c r="AE24" s="98">
        <f>(X24+Y24)/(V24+W24)%</f>
        <v/>
      </c>
      <c r="AF24" s="43">
        <f>(D24+E24+N24+O24+X24+Y24)/(B24+C24+L24+M24+V24+W24)*100</f>
        <v/>
      </c>
    </row>
    <row r="25" ht="15" customHeight="1" thickBot="1">
      <c r="A25" s="48" t="inlineStr">
        <is>
          <t>Snack ส่งออก</t>
        </is>
      </c>
      <c r="B25" s="120" t="n">
        <v>2</v>
      </c>
      <c r="C25" s="108" t="n">
        <v>0</v>
      </c>
      <c r="D25" s="103" t="n">
        <v>2</v>
      </c>
      <c r="E25" s="104" t="n">
        <v>0</v>
      </c>
      <c r="F25" s="185" t="n"/>
      <c r="G25" s="214" t="n"/>
      <c r="H25" s="125">
        <f>SUM(D25:G25)</f>
        <v/>
      </c>
      <c r="I25" s="122">
        <f>D25/B25%</f>
        <v/>
      </c>
      <c r="J25" s="41" t="n">
        <v>0</v>
      </c>
      <c r="K25" s="98">
        <f>(D25+E25)/(B25+C25)%</f>
        <v/>
      </c>
      <c r="L25" s="120" t="n">
        <v>0</v>
      </c>
      <c r="M25" s="108" t="n">
        <v>0</v>
      </c>
      <c r="N25" s="50" t="n">
        <v>0</v>
      </c>
      <c r="O25" s="8" t="n">
        <v>0</v>
      </c>
      <c r="P25" s="189" t="n"/>
      <c r="Q25" s="210" t="n">
        <v>10</v>
      </c>
      <c r="R25" s="51">
        <f>SUM(N25:Q25)</f>
        <v/>
      </c>
      <c r="S25" s="41" t="n">
        <v>0</v>
      </c>
      <c r="T25" s="41" t="n">
        <v>0</v>
      </c>
      <c r="U25" s="98" t="n">
        <v>0</v>
      </c>
      <c r="V25" s="120" t="n">
        <v>0</v>
      </c>
      <c r="W25" s="108" t="n">
        <v>0</v>
      </c>
      <c r="X25" s="50" t="n">
        <v>0</v>
      </c>
      <c r="Y25" s="8" t="n">
        <v>0</v>
      </c>
      <c r="Z25" s="189" t="n"/>
      <c r="AA25" s="210" t="n">
        <v>7</v>
      </c>
      <c r="AB25" s="51">
        <f>SUM(X25:AA25)</f>
        <v/>
      </c>
      <c r="AC25" s="125" t="n">
        <v>0</v>
      </c>
      <c r="AD25" s="41" t="n">
        <v>0</v>
      </c>
      <c r="AE25" s="98" t="n">
        <v>0</v>
      </c>
      <c r="AF25" s="43">
        <f>(D25+E25+N25+O25+X25+Y25)/(B25+C25+L25+M25+V25+W25)*100</f>
        <v/>
      </c>
    </row>
    <row r="26" ht="15" customFormat="1" customHeight="1" s="702" thickBot="1">
      <c r="A26" s="83" t="inlineStr">
        <is>
          <t>Total</t>
        </is>
      </c>
      <c r="B26" s="84">
        <f>SUM(B5:B25)</f>
        <v/>
      </c>
      <c r="C26" s="84">
        <f>SUM(C5:C25)</f>
        <v/>
      </c>
      <c r="D26" s="85">
        <f>SUM(D5:D25)</f>
        <v/>
      </c>
      <c r="E26" s="85">
        <f>SUM(E5:E25)</f>
        <v/>
      </c>
      <c r="F26" s="186">
        <f>SUM(F5:F25)</f>
        <v/>
      </c>
      <c r="G26" s="171">
        <f>SUM(G5:G25)</f>
        <v/>
      </c>
      <c r="H26" s="85">
        <f>SUM(H5:H25)</f>
        <v/>
      </c>
      <c r="I26" s="85">
        <f>D26/B26%</f>
        <v/>
      </c>
      <c r="J26" s="85" t="n">
        <v>0</v>
      </c>
      <c r="K26" s="85">
        <f>(D26+E26)/(B26+C26)%</f>
        <v/>
      </c>
      <c r="L26" s="84">
        <f>SUM(L5:L25)</f>
        <v/>
      </c>
      <c r="M26" s="84">
        <f>SUM(M5:M25)</f>
        <v/>
      </c>
      <c r="N26" s="85">
        <f>SUM(N5:N25)</f>
        <v/>
      </c>
      <c r="O26" s="85">
        <f>SUM(O5:O25)</f>
        <v/>
      </c>
      <c r="P26" s="186">
        <f>SUM(P5:P25)</f>
        <v/>
      </c>
      <c r="Q26" s="171">
        <f>SUM(Q5:Q25)</f>
        <v/>
      </c>
      <c r="R26" s="85">
        <f>SUM(R5:R25)</f>
        <v/>
      </c>
      <c r="S26" s="85">
        <f>N26/L26%</f>
        <v/>
      </c>
      <c r="T26" s="85">
        <f>O26/M26%</f>
        <v/>
      </c>
      <c r="U26" s="85">
        <f>(N26+O26)/(L26+M26)%</f>
        <v/>
      </c>
      <c r="V26" s="84">
        <f>SUM(V5:V25)</f>
        <v/>
      </c>
      <c r="W26" s="84">
        <f>SUM(W5:W25)</f>
        <v/>
      </c>
      <c r="X26" s="85">
        <f>SUM(X5:X25)</f>
        <v/>
      </c>
      <c r="Y26" s="85">
        <f>SUM(Y5:Y25)</f>
        <v/>
      </c>
      <c r="Z26" s="186">
        <f>SUM(Z5:Z25)</f>
        <v/>
      </c>
      <c r="AA26" s="171">
        <f>SUM(AA5:AA25)</f>
        <v/>
      </c>
      <c r="AB26" s="85">
        <f>SUM(AB5:AB25)</f>
        <v/>
      </c>
      <c r="AC26" s="85">
        <f>X26/V26%</f>
        <v/>
      </c>
      <c r="AD26" s="85">
        <f>Y26/W26%</f>
        <v/>
      </c>
      <c r="AE26" s="85">
        <f>(X26+Y26)/(V26+W26)%</f>
        <v/>
      </c>
      <c r="AF26" s="37">
        <f>((D26+E26+N26+
O26+X26+Y26))/((B26+C26+L26+M26+V26+W26))*100</f>
        <v/>
      </c>
    </row>
    <row r="27" ht="17.45" customHeight="1" thickBot="1">
      <c r="A27" s="82" t="inlineStr">
        <is>
          <t>จำนวนสินค้าใหม่ RTE Q2/2023</t>
        </is>
      </c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</row>
    <row r="28">
      <c r="A28" s="756" t="inlineStr">
        <is>
          <t>กลุ่มสินค้า</t>
        </is>
      </c>
      <c r="B28" s="832" t="n">
        <v>45017</v>
      </c>
      <c r="C28" s="833" t="n"/>
      <c r="D28" s="833" t="n"/>
      <c r="E28" s="833" t="n"/>
      <c r="F28" s="833" t="n"/>
      <c r="G28" s="833" t="n"/>
      <c r="H28" s="833" t="n"/>
      <c r="I28" s="833" t="n"/>
      <c r="J28" s="833" t="n"/>
      <c r="K28" s="834" t="n"/>
      <c r="L28" s="835" t="n">
        <v>45047</v>
      </c>
      <c r="M28" s="833" t="n"/>
      <c r="N28" s="833" t="n"/>
      <c r="O28" s="833" t="n"/>
      <c r="P28" s="833" t="n"/>
      <c r="Q28" s="833" t="n"/>
      <c r="R28" s="833" t="n"/>
      <c r="S28" s="833" t="n"/>
      <c r="T28" s="833" t="n"/>
      <c r="U28" s="836" t="n"/>
      <c r="V28" s="837" t="n">
        <v>45078</v>
      </c>
      <c r="W28" s="833" t="n"/>
      <c r="X28" s="833" t="n"/>
      <c r="Y28" s="833" t="n"/>
      <c r="Z28" s="833" t="n"/>
      <c r="AA28" s="833" t="n"/>
      <c r="AB28" s="833" t="n"/>
      <c r="AC28" s="833" t="n"/>
      <c r="AD28" s="833" t="n"/>
      <c r="AE28" s="834" t="n"/>
      <c r="AF28" s="819" t="inlineStr">
        <is>
          <t>Q2/2023</t>
        </is>
      </c>
      <c r="AG28" s="703" t="inlineStr">
        <is>
          <t>Q2 สะสม
2023</t>
        </is>
      </c>
    </row>
    <row r="29">
      <c r="A29" s="838" t="n"/>
      <c r="B29" s="839" t="inlineStr">
        <is>
          <t>แผนขาย</t>
        </is>
      </c>
      <c r="C29" s="342" t="n"/>
      <c r="D29" s="840" t="inlineStr">
        <is>
          <t>ขายได้</t>
        </is>
      </c>
      <c r="E29" s="841" t="n"/>
      <c r="F29" s="842" t="inlineStr">
        <is>
          <t>หยุดพัฒนา</t>
        </is>
      </c>
      <c r="G29" s="841" t="n"/>
      <c r="H29" s="732" t="inlineStr">
        <is>
          <t>พัฒนาทั้งหมด</t>
        </is>
      </c>
      <c r="I29" s="843" t="inlineStr">
        <is>
          <t>%success</t>
        </is>
      </c>
      <c r="J29" s="825" t="n"/>
      <c r="K29" s="844" t="n"/>
      <c r="L29" s="723" t="inlineStr">
        <is>
          <t>แผนขาย</t>
        </is>
      </c>
      <c r="M29" s="342" t="n"/>
      <c r="N29" s="840" t="inlineStr">
        <is>
          <t>ขายได้</t>
        </is>
      </c>
      <c r="O29" s="841" t="n"/>
      <c r="P29" s="842" t="inlineStr">
        <is>
          <t>หยุดพัฒนา</t>
        </is>
      </c>
      <c r="Q29" s="841" t="n"/>
      <c r="R29" s="712" t="inlineStr">
        <is>
          <t>พัฒนาทั้งหมด</t>
        </is>
      </c>
      <c r="S29" s="824" t="inlineStr">
        <is>
          <t>%success</t>
        </is>
      </c>
      <c r="T29" s="825" t="n"/>
      <c r="U29" s="826" t="n"/>
      <c r="V29" s="723" t="inlineStr">
        <is>
          <t>แผนขาย</t>
        </is>
      </c>
      <c r="W29" s="342" t="n"/>
      <c r="X29" s="840" t="inlineStr">
        <is>
          <t>ขายได้</t>
        </is>
      </c>
      <c r="Y29" s="841" t="n"/>
      <c r="Z29" s="842" t="inlineStr">
        <is>
          <t>หยุดพัฒนา</t>
        </is>
      </c>
      <c r="AA29" s="841" t="n"/>
      <c r="AB29" s="712" t="inlineStr">
        <is>
          <t>พัฒนาทั้งหมด</t>
        </is>
      </c>
      <c r="AC29" s="824" t="inlineStr">
        <is>
          <t>%success</t>
        </is>
      </c>
      <c r="AD29" s="825" t="n"/>
      <c r="AE29" s="826" t="n"/>
      <c r="AF29" s="828" t="n"/>
      <c r="AG29" s="820" t="n"/>
    </row>
    <row r="30">
      <c r="A30" s="838" t="n"/>
      <c r="B30" s="149" t="inlineStr">
        <is>
          <t>New</t>
        </is>
      </c>
      <c r="C30" s="148" t="inlineStr">
        <is>
          <t>Imp</t>
        </is>
      </c>
      <c r="D30" s="9" t="inlineStr">
        <is>
          <t>New</t>
        </is>
      </c>
      <c r="E30" s="9" t="inlineStr">
        <is>
          <t>Imp</t>
        </is>
      </c>
      <c r="F30" s="172" t="inlineStr">
        <is>
          <t>ตามแผน</t>
        </is>
      </c>
      <c r="G30" s="162" t="inlineStr">
        <is>
          <t>นอกแผน</t>
        </is>
      </c>
      <c r="H30" s="830" t="n"/>
      <c r="I30" s="116" t="inlineStr">
        <is>
          <t>New</t>
        </is>
      </c>
      <c r="J30" s="116" t="inlineStr">
        <is>
          <t>Imp</t>
        </is>
      </c>
      <c r="K30" s="155" t="inlineStr">
        <is>
          <t>รวม</t>
        </is>
      </c>
      <c r="L30" s="147" t="inlineStr">
        <is>
          <t>New</t>
        </is>
      </c>
      <c r="M30" s="148" t="inlineStr">
        <is>
          <t>Imp</t>
        </is>
      </c>
      <c r="N30" s="9" t="inlineStr">
        <is>
          <t>New</t>
        </is>
      </c>
      <c r="O30" s="9" t="inlineStr">
        <is>
          <t>Imp</t>
        </is>
      </c>
      <c r="P30" s="172" t="inlineStr">
        <is>
          <t>ตามแผน</t>
        </is>
      </c>
      <c r="Q30" s="162" t="inlineStr">
        <is>
          <t>นอกแผน</t>
        </is>
      </c>
      <c r="R30" s="801" t="n"/>
      <c r="S30" s="116" t="inlineStr">
        <is>
          <t>New</t>
        </is>
      </c>
      <c r="T30" s="116" t="inlineStr">
        <is>
          <t>Imp</t>
        </is>
      </c>
      <c r="U30" s="115" t="inlineStr">
        <is>
          <t>รวม</t>
        </is>
      </c>
      <c r="V30" s="147" t="inlineStr">
        <is>
          <t>New</t>
        </is>
      </c>
      <c r="W30" s="148" t="inlineStr">
        <is>
          <t>Imp</t>
        </is>
      </c>
      <c r="X30" s="38" t="inlineStr">
        <is>
          <t>New</t>
        </is>
      </c>
      <c r="Y30" s="38" t="inlineStr">
        <is>
          <t>Imp</t>
        </is>
      </c>
      <c r="Z30" s="192" t="inlineStr">
        <is>
          <t>ตามแผน</t>
        </is>
      </c>
      <c r="AA30" s="196" t="inlineStr">
        <is>
          <t>นอกแผน</t>
        </is>
      </c>
      <c r="AB30" s="801" t="n"/>
      <c r="AC30" s="116" t="inlineStr">
        <is>
          <t>New</t>
        </is>
      </c>
      <c r="AD30" s="116" t="inlineStr">
        <is>
          <t>Imp</t>
        </is>
      </c>
      <c r="AE30" s="115" t="inlineStr">
        <is>
          <t>รวม</t>
        </is>
      </c>
      <c r="AF30" s="831" t="n"/>
      <c r="AG30" s="820" t="n"/>
    </row>
    <row r="31">
      <c r="A31" s="131" t="inlineStr">
        <is>
          <t>PMA02</t>
        </is>
      </c>
      <c r="B31" s="118" t="n">
        <v>1</v>
      </c>
      <c r="C31" s="108" t="n">
        <v>0</v>
      </c>
      <c r="D31" s="4" t="n">
        <v>1</v>
      </c>
      <c r="E31" s="6" t="n">
        <v>0</v>
      </c>
      <c r="F31" s="173" t="n"/>
      <c r="G31" s="163" t="n"/>
      <c r="H31" s="99">
        <f>SUM(D31:G31)</f>
        <v/>
      </c>
      <c r="I31" s="121">
        <f>D31/B31%</f>
        <v/>
      </c>
      <c r="J31" s="99" t="n">
        <v>0</v>
      </c>
      <c r="K31" s="156">
        <f>(D31+E31)/(B31+C31)%</f>
        <v/>
      </c>
      <c r="L31" s="108" t="n">
        <v>0</v>
      </c>
      <c r="M31" s="138" t="n">
        <v>0</v>
      </c>
      <c r="N31" s="4" t="n">
        <v>0</v>
      </c>
      <c r="O31" s="6" t="n">
        <v>0</v>
      </c>
      <c r="P31" s="179" t="n"/>
      <c r="Q31" s="164" t="n"/>
      <c r="R31" s="99">
        <f>SUM(N31:Q31)</f>
        <v/>
      </c>
      <c r="S31" s="121" t="n">
        <v>0</v>
      </c>
      <c r="T31" s="99" t="n">
        <v>0</v>
      </c>
      <c r="U31" s="98" t="n">
        <v>0</v>
      </c>
      <c r="V31" s="45" t="n">
        <v>0</v>
      </c>
      <c r="W31" s="140" t="n">
        <v>0</v>
      </c>
      <c r="X31" s="4" t="n">
        <v>0</v>
      </c>
      <c r="Y31" s="6" t="n">
        <v>0</v>
      </c>
      <c r="Z31" s="179" t="n"/>
      <c r="AA31" s="164" t="n">
        <v>1</v>
      </c>
      <c r="AB31" s="146">
        <f>SUM(X31:AA31)</f>
        <v/>
      </c>
      <c r="AC31" s="121" t="n">
        <v>0</v>
      </c>
      <c r="AD31" s="99" t="n">
        <v>0</v>
      </c>
      <c r="AE31" s="98" t="n">
        <v>0</v>
      </c>
      <c r="AF31" s="144">
        <f>(D31+E31+N31+O31+X31+Y31)/(B31+C31+L31+M31+V31+W31)*100</f>
        <v/>
      </c>
      <c r="AG31" s="94">
        <f>(D5+E5+N5+O5+X5+Y5+D31+E31+N31+O31+X31+Y31)/(B5+C5+L5+M5+V5+W5+B31+C31+L31+M31+V31+W31)*100</f>
        <v/>
      </c>
    </row>
    <row r="32">
      <c r="A32" s="131" t="inlineStr">
        <is>
          <t>PMA08</t>
        </is>
      </c>
      <c r="B32" s="101" t="n">
        <v>2</v>
      </c>
      <c r="C32" s="108" t="n">
        <v>3</v>
      </c>
      <c r="D32" s="4" t="n">
        <v>2</v>
      </c>
      <c r="E32" s="6" t="n">
        <v>3</v>
      </c>
      <c r="F32" s="174" t="n"/>
      <c r="G32" s="164" t="n"/>
      <c r="H32" s="4">
        <f>SUM(D32:G32)</f>
        <v/>
      </c>
      <c r="I32" s="42">
        <f>D32/B32%</f>
        <v/>
      </c>
      <c r="J32" s="41">
        <f>E32/C32%</f>
        <v/>
      </c>
      <c r="K32" s="156">
        <f>(D32+E32)/(B32+C32)%</f>
        <v/>
      </c>
      <c r="L32" s="108" t="n">
        <v>0</v>
      </c>
      <c r="M32" s="96" t="n">
        <v>1</v>
      </c>
      <c r="N32" s="4" t="n">
        <v>0</v>
      </c>
      <c r="O32" s="6" t="n">
        <v>1</v>
      </c>
      <c r="P32" s="179" t="n"/>
      <c r="Q32" s="164" t="n"/>
      <c r="R32" s="41">
        <f>SUM(N32:Q32)</f>
        <v/>
      </c>
      <c r="S32" s="42" t="n">
        <v>0</v>
      </c>
      <c r="T32" s="41">
        <f>O32/M32%</f>
        <v/>
      </c>
      <c r="U32" s="98">
        <f>(N32+O32)/(L32+M32)%</f>
        <v/>
      </c>
      <c r="V32" s="45" t="n">
        <v>0</v>
      </c>
      <c r="W32" s="140" t="n">
        <v>1</v>
      </c>
      <c r="X32" s="4" t="n">
        <v>0</v>
      </c>
      <c r="Y32" s="6" t="n">
        <v>1</v>
      </c>
      <c r="Z32" s="179" t="n"/>
      <c r="AA32" s="164" t="n"/>
      <c r="AB32" s="41">
        <f>SUM(X32:AA32)</f>
        <v/>
      </c>
      <c r="AC32" s="42" t="n">
        <v>0</v>
      </c>
      <c r="AD32" s="41">
        <f>Y32/W32%</f>
        <v/>
      </c>
      <c r="AE32" s="98">
        <f>(X32+Y32)/(V32+W32)%</f>
        <v/>
      </c>
      <c r="AF32" s="144">
        <f>(D32+E32+N32+O32+X32+Y32)/(B32+C32+L32+M32+V32+W32)*100</f>
        <v/>
      </c>
      <c r="AG32" s="43">
        <f>(D6+E6+N6+O6+X6+Y6+D32+E32+N32+O32+X32+Y32)/(B6+C6+L6+M6+V6+W6+B32+C32+L32+M32+V32+W32)*100</f>
        <v/>
      </c>
    </row>
    <row r="33">
      <c r="A33" s="132" t="inlineStr">
        <is>
          <t>PMA22 ข้าวเหนียว</t>
        </is>
      </c>
      <c r="B33" s="45" t="n">
        <v>0</v>
      </c>
      <c r="C33" s="96" t="n">
        <v>0</v>
      </c>
      <c r="D33" s="4" t="n">
        <v>0</v>
      </c>
      <c r="E33" s="4" t="n">
        <v>0</v>
      </c>
      <c r="F33" s="174" t="n"/>
      <c r="G33" s="164" t="n"/>
      <c r="H33" s="4">
        <f>SUM(D33:G33)</f>
        <v/>
      </c>
      <c r="I33" s="42" t="n">
        <v>0</v>
      </c>
      <c r="J33" s="41" t="n">
        <v>0</v>
      </c>
      <c r="K33" s="156" t="n">
        <v>0</v>
      </c>
      <c r="L33" s="108" t="n">
        <v>1</v>
      </c>
      <c r="M33" s="96" t="n">
        <v>0</v>
      </c>
      <c r="N33" s="4" t="n">
        <v>1</v>
      </c>
      <c r="O33" s="6" t="n">
        <v>0</v>
      </c>
      <c r="P33" s="179" t="n"/>
      <c r="Q33" s="164" t="n"/>
      <c r="R33" s="41">
        <f>SUM(N33:Q33)</f>
        <v/>
      </c>
      <c r="S33" s="42">
        <f>N33/L33%</f>
        <v/>
      </c>
      <c r="T33" s="41" t="n">
        <v>0</v>
      </c>
      <c r="U33" s="98">
        <f>(N33+O33)/(L33+M33)%</f>
        <v/>
      </c>
      <c r="V33" s="45" t="n">
        <v>0</v>
      </c>
      <c r="W33" s="140" t="n">
        <v>0</v>
      </c>
      <c r="X33" s="4" t="n">
        <v>0</v>
      </c>
      <c r="Y33" s="6" t="n">
        <v>0</v>
      </c>
      <c r="Z33" s="179" t="n"/>
      <c r="AA33" s="164" t="n"/>
      <c r="AB33" s="41">
        <f>SUM(X33:AA33)</f>
        <v/>
      </c>
      <c r="AC33" s="42" t="n">
        <v>0</v>
      </c>
      <c r="AD33" s="41" t="n">
        <v>0</v>
      </c>
      <c r="AE33" s="98" t="n">
        <v>0</v>
      </c>
      <c r="AF33" s="144">
        <f>(D33+E33+N33+O33+X33+Y33)/(B33+C33+L33+M33+V33+W33)*100</f>
        <v/>
      </c>
      <c r="AG33" s="43">
        <f>(D7+E7+N7+O7+X7+Y7+D33+E33+N33+O33+X33+Y33)/(B7+C7+L7+M7+V7+W7+B33+C33+L33+M33+V33+W33)*100</f>
        <v/>
      </c>
    </row>
    <row r="34">
      <c r="A34" s="132" t="inlineStr">
        <is>
          <t>PMA24</t>
        </is>
      </c>
      <c r="B34" s="45" t="n">
        <v>2</v>
      </c>
      <c r="C34" s="96" t="n">
        <v>0</v>
      </c>
      <c r="D34" s="4" t="n">
        <v>2</v>
      </c>
      <c r="E34" s="4" t="n">
        <v>0</v>
      </c>
      <c r="F34" s="174" t="n"/>
      <c r="G34" s="164" t="n">
        <v>3</v>
      </c>
      <c r="H34" s="4">
        <f>SUM(D34:G34)</f>
        <v/>
      </c>
      <c r="I34" s="42">
        <f>D34/B34%</f>
        <v/>
      </c>
      <c r="J34" s="41" t="n">
        <v>0</v>
      </c>
      <c r="K34" s="156">
        <f>(D34+E34)/(B34+C34)%</f>
        <v/>
      </c>
      <c r="L34" s="108" t="n">
        <v>3</v>
      </c>
      <c r="M34" s="96" t="n">
        <v>1</v>
      </c>
      <c r="N34" s="4" t="n">
        <v>3</v>
      </c>
      <c r="O34" s="6" t="n">
        <v>1</v>
      </c>
      <c r="P34" s="179" t="n"/>
      <c r="Q34" s="164" t="n"/>
      <c r="R34" s="41">
        <f>SUM(N34:Q34)</f>
        <v/>
      </c>
      <c r="S34" s="42">
        <f>N34/L34%</f>
        <v/>
      </c>
      <c r="T34" s="41">
        <f>O34/M34%</f>
        <v/>
      </c>
      <c r="U34" s="98">
        <f>(N34+O34)/(L34+M34)%</f>
        <v/>
      </c>
      <c r="V34" s="45" t="n">
        <v>2</v>
      </c>
      <c r="W34" s="140" t="n">
        <v>0</v>
      </c>
      <c r="X34" s="4" t="n">
        <v>2</v>
      </c>
      <c r="Y34" s="6" t="n">
        <v>0</v>
      </c>
      <c r="Z34" s="179" t="n"/>
      <c r="AA34" s="164" t="n"/>
      <c r="AB34" s="41" t="n">
        <v>2</v>
      </c>
      <c r="AC34" s="42">
        <f>X34/V34%</f>
        <v/>
      </c>
      <c r="AD34" s="41" t="n">
        <v>0</v>
      </c>
      <c r="AE34" s="98">
        <f>(X34+Y34)/(V34+W34)%</f>
        <v/>
      </c>
      <c r="AF34" s="144">
        <f>(D34+E34+N34+O34+X34+Y34)/(B34+C34+L34+M34+V34+W34)*100</f>
        <v/>
      </c>
      <c r="AG34" s="43">
        <f>(D8+E8+N8+O8+X8+Y8+D34+E34+N34+O34+X34+Y34)/(B8+C8+L8+M8+V8+W8+B34+C34+L34+M34+V34+W34)*100</f>
        <v/>
      </c>
    </row>
    <row r="35">
      <c r="A35" s="132" t="inlineStr">
        <is>
          <t>PMA16</t>
        </is>
      </c>
      <c r="B35" s="45" t="n">
        <v>0</v>
      </c>
      <c r="C35" s="96" t="n">
        <v>0</v>
      </c>
      <c r="D35" s="4" t="n">
        <v>0</v>
      </c>
      <c r="E35" s="4" t="n">
        <v>0</v>
      </c>
      <c r="F35" s="174" t="n"/>
      <c r="G35" s="164" t="n"/>
      <c r="H35" s="4">
        <f>SUM(D35:G35)</f>
        <v/>
      </c>
      <c r="I35" s="46" t="n">
        <v>0</v>
      </c>
      <c r="J35" s="41" t="n">
        <v>0</v>
      </c>
      <c r="K35" s="156" t="n">
        <v>0</v>
      </c>
      <c r="L35" s="108" t="n">
        <v>0</v>
      </c>
      <c r="M35" s="96" t="n">
        <v>0</v>
      </c>
      <c r="N35" s="4" t="n">
        <v>0</v>
      </c>
      <c r="O35" s="6" t="n">
        <v>0</v>
      </c>
      <c r="P35" s="179" t="n"/>
      <c r="Q35" s="164" t="n"/>
      <c r="R35" s="41">
        <f>SUM(N35:Q35)</f>
        <v/>
      </c>
      <c r="S35" s="46" t="n">
        <v>0</v>
      </c>
      <c r="T35" s="41" t="n">
        <v>0</v>
      </c>
      <c r="U35" s="98" t="n">
        <v>0</v>
      </c>
      <c r="V35" s="45" t="n">
        <v>0</v>
      </c>
      <c r="W35" s="140" t="n">
        <v>0</v>
      </c>
      <c r="X35" s="4" t="n">
        <v>0</v>
      </c>
      <c r="Y35" s="6" t="n">
        <v>0</v>
      </c>
      <c r="Z35" s="179" t="n"/>
      <c r="AA35" s="164" t="n"/>
      <c r="AB35" s="41">
        <f>SUM(X35:AA35)</f>
        <v/>
      </c>
      <c r="AC35" s="46" t="n">
        <v>0</v>
      </c>
      <c r="AD35" s="41" t="n">
        <v>0</v>
      </c>
      <c r="AE35" s="98" t="n">
        <v>0</v>
      </c>
      <c r="AF35" s="144" t="n">
        <v>0</v>
      </c>
      <c r="AG35" s="43">
        <f>(D9+E9+N9+O9+X9+Y9+D35+E35+N35+O35+X35+Y35)/(B9+C9+L9+M9+V9+W9+B35+C35+L35+M35+V35+W35)*100</f>
        <v/>
      </c>
    </row>
    <row r="36">
      <c r="A36" s="132" t="inlineStr">
        <is>
          <t>PMA19 ข้าวปั้น</t>
        </is>
      </c>
      <c r="B36" s="45" t="n">
        <v>1</v>
      </c>
      <c r="C36" s="96" t="n">
        <v>0</v>
      </c>
      <c r="D36" s="4" t="n">
        <v>1</v>
      </c>
      <c r="E36" s="4" t="n">
        <v>0</v>
      </c>
      <c r="F36" s="174" t="n"/>
      <c r="G36" s="164" t="n"/>
      <c r="H36" s="4">
        <f>SUM(D36:G36)</f>
        <v/>
      </c>
      <c r="I36" s="42">
        <f>D36/B36%</f>
        <v/>
      </c>
      <c r="J36" s="41" t="n">
        <v>0</v>
      </c>
      <c r="K36" s="156">
        <f>(D36+E36)/(B36+C36)%</f>
        <v/>
      </c>
      <c r="L36" s="108" t="n">
        <v>0</v>
      </c>
      <c r="M36" s="96" t="n">
        <v>0</v>
      </c>
      <c r="N36" s="4" t="n">
        <v>0</v>
      </c>
      <c r="O36" s="6" t="n">
        <v>0</v>
      </c>
      <c r="P36" s="179" t="n"/>
      <c r="Q36" s="164" t="n"/>
      <c r="R36" s="41" t="n">
        <v>0</v>
      </c>
      <c r="S36" s="42" t="n">
        <v>0</v>
      </c>
      <c r="T36" s="41" t="n">
        <v>0</v>
      </c>
      <c r="U36" s="98" t="n">
        <v>0</v>
      </c>
      <c r="V36" s="45" t="n">
        <v>0</v>
      </c>
      <c r="W36" s="140" t="n">
        <v>0</v>
      </c>
      <c r="X36" s="4" t="n">
        <v>0</v>
      </c>
      <c r="Y36" s="6" t="n">
        <v>0</v>
      </c>
      <c r="Z36" s="179" t="n"/>
      <c r="AA36" s="164" t="n"/>
      <c r="AB36" s="41">
        <f>SUM(X36:AA36)</f>
        <v/>
      </c>
      <c r="AC36" s="46" t="n">
        <v>0</v>
      </c>
      <c r="AD36" s="41" t="n">
        <v>0</v>
      </c>
      <c r="AE36" s="98" t="n">
        <v>0</v>
      </c>
      <c r="AF36" s="144">
        <f>(D36+E36+N36+O36+X36+Y36)/(B36+C36+L36+M36+V36+W36)*100</f>
        <v/>
      </c>
      <c r="AG36" s="43">
        <f>(D10+E10+N10+O10+X10+Y10+D36+E36+N36+O36+X36+Y36)/(B10+C10+L10+M10+V10+W10+B36+C36+L36+M36+V36+W36)*100</f>
        <v/>
      </c>
    </row>
    <row r="37">
      <c r="A37" s="132" t="inlineStr">
        <is>
          <t>PMA19 Chilled</t>
        </is>
      </c>
      <c r="B37" s="45" t="n">
        <v>2</v>
      </c>
      <c r="C37" s="96" t="n">
        <v>0</v>
      </c>
      <c r="D37" s="4" t="n">
        <v>2</v>
      </c>
      <c r="E37" s="4" t="n">
        <v>0</v>
      </c>
      <c r="F37" s="175" t="n"/>
      <c r="G37" s="166" t="n"/>
      <c r="H37" s="4">
        <f>SUM(D37:G37)</f>
        <v/>
      </c>
      <c r="I37" s="41">
        <f>D37/B37%</f>
        <v/>
      </c>
      <c r="J37" s="41" t="n">
        <v>0</v>
      </c>
      <c r="K37" s="156">
        <f>(D37+E37)/(B37+C37)%</f>
        <v/>
      </c>
      <c r="L37" s="108" t="n">
        <v>2</v>
      </c>
      <c r="M37" s="96" t="n">
        <v>1</v>
      </c>
      <c r="N37" s="4" t="n">
        <v>2</v>
      </c>
      <c r="O37" s="6" t="n">
        <v>1</v>
      </c>
      <c r="P37" s="175" t="n"/>
      <c r="Q37" s="166" t="n"/>
      <c r="R37" s="40">
        <f>SUM(N37:Q37)</f>
        <v/>
      </c>
      <c r="S37" s="41">
        <f>N37/L37%</f>
        <v/>
      </c>
      <c r="T37" s="41">
        <f>O37/M37%</f>
        <v/>
      </c>
      <c r="U37" s="98">
        <f>(N37+O37)/(L37+M37)%</f>
        <v/>
      </c>
      <c r="V37" s="45" t="n">
        <v>0</v>
      </c>
      <c r="W37" s="140" t="n">
        <v>3</v>
      </c>
      <c r="X37" s="4" t="n">
        <v>0</v>
      </c>
      <c r="Y37" s="6" t="n">
        <v>3</v>
      </c>
      <c r="Z37" s="175" t="n"/>
      <c r="AA37" s="166" t="n"/>
      <c r="AB37" s="40">
        <f>SUM(X37:AA37)</f>
        <v/>
      </c>
      <c r="AC37" s="41" t="n">
        <v>0</v>
      </c>
      <c r="AD37" s="41">
        <f>Y37/W37%</f>
        <v/>
      </c>
      <c r="AE37" s="98">
        <f>(X37+Y37)/(V37+W37)%</f>
        <v/>
      </c>
      <c r="AF37" s="144">
        <f>(D37+E37+N37+O37+X37+Y37)/(B37+C37+L37+M37+V37+W37)*100</f>
        <v/>
      </c>
      <c r="AG37" s="43">
        <f>(D11+E11+N11+O11+X11+Y11+D37+E37+N37+O37+X37+Y37)/(B11+C11+L11+M11+V11+W11+B37+C37+L37+M37+V37+W37)*100</f>
        <v/>
      </c>
    </row>
    <row r="38" customFormat="1" s="3">
      <c r="A38" s="133" t="inlineStr">
        <is>
          <t>PMA19 โครงการพิเศษ</t>
        </is>
      </c>
      <c r="B38" s="45" t="n">
        <v>0</v>
      </c>
      <c r="C38" s="96" t="n">
        <v>0</v>
      </c>
      <c r="D38" s="35" t="n">
        <v>0</v>
      </c>
      <c r="E38" s="35" t="n">
        <v>0</v>
      </c>
      <c r="F38" s="175" t="n"/>
      <c r="G38" s="166" t="n"/>
      <c r="H38" s="4">
        <f>SUM(D38:G38)</f>
        <v/>
      </c>
      <c r="I38" s="41" t="n">
        <v>0</v>
      </c>
      <c r="J38" s="41" t="n">
        <v>0</v>
      </c>
      <c r="K38" s="156" t="n">
        <v>0</v>
      </c>
      <c r="L38" s="108" t="n">
        <v>0</v>
      </c>
      <c r="M38" s="96" t="n">
        <v>0</v>
      </c>
      <c r="N38" s="35" t="n">
        <v>0</v>
      </c>
      <c r="O38" s="92" t="n">
        <v>0</v>
      </c>
      <c r="P38" s="181" t="n"/>
      <c r="Q38" s="167" t="n"/>
      <c r="R38" s="40">
        <f>SUM(N38:Q38)</f>
        <v/>
      </c>
      <c r="S38" s="41" t="n">
        <v>0</v>
      </c>
      <c r="T38" s="41" t="n">
        <v>0</v>
      </c>
      <c r="U38" s="98" t="n">
        <v>0</v>
      </c>
      <c r="V38" s="45" t="n">
        <v>0</v>
      </c>
      <c r="W38" s="96" t="n">
        <v>0</v>
      </c>
      <c r="X38" s="35" t="n">
        <v>0</v>
      </c>
      <c r="Y38" s="35" t="n">
        <v>0</v>
      </c>
      <c r="Z38" s="181" t="n"/>
      <c r="AA38" s="167" t="n"/>
      <c r="AB38" s="40">
        <f>SUM(X38:AA38)</f>
        <v/>
      </c>
      <c r="AC38" s="41" t="n">
        <v>0</v>
      </c>
      <c r="AD38" s="41" t="n">
        <v>0</v>
      </c>
      <c r="AE38" s="98" t="n">
        <v>0</v>
      </c>
      <c r="AF38" s="144" t="n">
        <v>0</v>
      </c>
      <c r="AG38" s="43" t="n">
        <v>0</v>
      </c>
    </row>
    <row r="39">
      <c r="A39" s="132" t="inlineStr">
        <is>
          <t>PMA22 ข้าว Chilled</t>
        </is>
      </c>
      <c r="B39" s="45" t="n">
        <v>0</v>
      </c>
      <c r="C39" s="96" t="n">
        <v>0</v>
      </c>
      <c r="D39" s="4" t="n">
        <v>0</v>
      </c>
      <c r="E39" s="4" t="n">
        <v>0</v>
      </c>
      <c r="F39" s="174" t="n"/>
      <c r="G39" s="164" t="n"/>
      <c r="H39" s="4">
        <f>SUM(D39:G39)</f>
        <v/>
      </c>
      <c r="I39" s="41" t="n">
        <v>0</v>
      </c>
      <c r="J39" s="41" t="n">
        <v>0</v>
      </c>
      <c r="K39" s="156" t="n">
        <v>0</v>
      </c>
      <c r="L39" s="108" t="n">
        <v>0</v>
      </c>
      <c r="M39" s="96" t="n">
        <v>0</v>
      </c>
      <c r="N39" s="4" t="n">
        <v>0</v>
      </c>
      <c r="O39" s="6" t="n">
        <v>0</v>
      </c>
      <c r="P39" s="179" t="n"/>
      <c r="Q39" s="164" t="n"/>
      <c r="R39" s="40">
        <f>SUM(N39:Q39)</f>
        <v/>
      </c>
      <c r="S39" s="41" t="n">
        <v>0</v>
      </c>
      <c r="T39" s="41" t="n">
        <v>0</v>
      </c>
      <c r="U39" s="98" t="n">
        <v>0</v>
      </c>
      <c r="V39" s="45" t="n">
        <v>0</v>
      </c>
      <c r="W39" s="140" t="n">
        <v>0</v>
      </c>
      <c r="X39" s="4" t="n">
        <v>0</v>
      </c>
      <c r="Y39" s="6" t="n">
        <v>0</v>
      </c>
      <c r="Z39" s="179" t="n"/>
      <c r="AA39" s="164" t="n"/>
      <c r="AB39" s="40">
        <f>SUM(X39:AA39)</f>
        <v/>
      </c>
      <c r="AC39" s="41" t="n">
        <v>0</v>
      </c>
      <c r="AD39" s="41" t="n">
        <v>0</v>
      </c>
      <c r="AE39" s="98" t="n">
        <v>0</v>
      </c>
      <c r="AF39" s="144" t="n">
        <v>0</v>
      </c>
      <c r="AG39" s="43" t="n">
        <v>0</v>
      </c>
    </row>
    <row r="40">
      <c r="A40" s="132" t="inlineStr">
        <is>
          <t>PMA22 โครงการพิเศษ</t>
        </is>
      </c>
      <c r="B40" s="45" t="n">
        <v>1</v>
      </c>
      <c r="C40" s="96" t="n">
        <v>0</v>
      </c>
      <c r="D40" s="4" t="n">
        <v>1</v>
      </c>
      <c r="E40" s="4" t="n">
        <v>0</v>
      </c>
      <c r="F40" s="174" t="n"/>
      <c r="G40" s="164" t="n"/>
      <c r="H40" s="4">
        <f>SUM(D40:G40)</f>
        <v/>
      </c>
      <c r="I40" s="41">
        <f>D40/B40%</f>
        <v/>
      </c>
      <c r="J40" s="41" t="n">
        <v>0</v>
      </c>
      <c r="K40" s="156">
        <f>(D40+E40)/(B40+C40)%</f>
        <v/>
      </c>
      <c r="L40" s="108" t="n">
        <v>0</v>
      </c>
      <c r="M40" s="96" t="n">
        <v>0</v>
      </c>
      <c r="N40" s="4" t="n">
        <v>0</v>
      </c>
      <c r="O40" s="6" t="n">
        <v>0</v>
      </c>
      <c r="P40" s="179" t="n"/>
      <c r="Q40" s="164" t="n"/>
      <c r="R40" s="40">
        <f>SUM(N40:Q40)</f>
        <v/>
      </c>
      <c r="S40" s="41" t="n">
        <v>0</v>
      </c>
      <c r="T40" s="41" t="n">
        <v>0</v>
      </c>
      <c r="U40" s="98" t="n">
        <v>0</v>
      </c>
      <c r="V40" s="45" t="n">
        <v>0</v>
      </c>
      <c r="W40" s="140" t="n">
        <v>0</v>
      </c>
      <c r="X40" s="4" t="n">
        <v>0</v>
      </c>
      <c r="Y40" s="6" t="n">
        <v>0</v>
      </c>
      <c r="Z40" s="179" t="n"/>
      <c r="AA40" s="164" t="n"/>
      <c r="AB40" s="40">
        <f>SUM(X40:AA40)</f>
        <v/>
      </c>
      <c r="AC40" s="41" t="n">
        <v>0</v>
      </c>
      <c r="AD40" s="41" t="n">
        <v>0</v>
      </c>
      <c r="AE40" s="98" t="n">
        <v>0</v>
      </c>
      <c r="AF40" s="144">
        <f>(D40+E40+N40+O40+X40+Y40)/(B40+C40+L40+M40+V40+W40)*100</f>
        <v/>
      </c>
      <c r="AG40" s="43">
        <f>(D14+E14+N14+O14+X14+Y14+D40+E40+N40+O40+X40+Y40)/(B14+C14+L14+M14+V14+W14+B40+C40+L40+M40+V40+W40)*100</f>
        <v/>
      </c>
    </row>
    <row r="41">
      <c r="A41" s="134" t="inlineStr">
        <is>
          <t>PMA20 ข้าวFrozen</t>
        </is>
      </c>
      <c r="B41" s="45" t="n">
        <v>4</v>
      </c>
      <c r="C41" s="96" t="n">
        <v>0</v>
      </c>
      <c r="D41" s="4" t="n">
        <v>4</v>
      </c>
      <c r="E41" s="4" t="n">
        <v>0</v>
      </c>
      <c r="F41" s="174" t="n"/>
      <c r="G41" s="164" t="n">
        <v>4</v>
      </c>
      <c r="H41" s="4">
        <f>SUM(D41:G41)</f>
        <v/>
      </c>
      <c r="I41" s="41">
        <f>D41/B41%</f>
        <v/>
      </c>
      <c r="J41" s="41" t="n">
        <v>0</v>
      </c>
      <c r="K41" s="156">
        <f>(D41+E41)/(B41+C41)%</f>
        <v/>
      </c>
      <c r="L41" s="108" t="n">
        <v>1</v>
      </c>
      <c r="M41" s="96" t="n">
        <v>0</v>
      </c>
      <c r="N41" s="4" t="n">
        <v>1</v>
      </c>
      <c r="O41" s="6" t="n">
        <v>0</v>
      </c>
      <c r="P41" s="179" t="n"/>
      <c r="Q41" s="164" t="n">
        <v>6</v>
      </c>
      <c r="R41" s="40">
        <f>SUM(N41:Q41)</f>
        <v/>
      </c>
      <c r="S41" s="41">
        <f>N41/L41%</f>
        <v/>
      </c>
      <c r="T41" s="41" t="n">
        <v>0</v>
      </c>
      <c r="U41" s="98">
        <f>(N41+O41)/(L41+M41)%</f>
        <v/>
      </c>
      <c r="V41" s="45" t="n">
        <v>1</v>
      </c>
      <c r="W41" s="140" t="n">
        <v>0</v>
      </c>
      <c r="X41" s="4" t="n">
        <v>1</v>
      </c>
      <c r="Y41" s="6" t="n">
        <v>0</v>
      </c>
      <c r="Z41" s="179" t="n"/>
      <c r="AA41" s="164" t="n">
        <v>1</v>
      </c>
      <c r="AB41" s="40">
        <f>SUM(X41:AA41)</f>
        <v/>
      </c>
      <c r="AC41" s="41">
        <f>X41/V41%</f>
        <v/>
      </c>
      <c r="AD41" s="41" t="n">
        <v>0</v>
      </c>
      <c r="AE41" s="98">
        <f>(X41+Y41)/(V41+W41)%</f>
        <v/>
      </c>
      <c r="AF41" s="144">
        <f>(D41+E41+N41+O41+X41+Y41)/(B41+C41+L41+M41+V41+W41)*100</f>
        <v/>
      </c>
      <c r="AG41" s="43">
        <f>(D15+E15+N15+O15+X15+Y15+D41+E41+N41+O41+X41+Y41)/(B15+C15+L15+M15+V15+W15+B41+C41+L41+M41+V41+W41)*100</f>
        <v/>
      </c>
    </row>
    <row r="42">
      <c r="A42" s="132" t="inlineStr">
        <is>
          <t>PMA20 ทอด</t>
        </is>
      </c>
      <c r="B42" s="45" t="n">
        <v>0</v>
      </c>
      <c r="C42" s="96" t="n">
        <v>0</v>
      </c>
      <c r="D42" s="4" t="n">
        <v>0</v>
      </c>
      <c r="E42" s="4" t="n">
        <v>0</v>
      </c>
      <c r="F42" s="174" t="n"/>
      <c r="G42" s="164" t="n"/>
      <c r="H42" s="4">
        <f>SUM(D42:G42)</f>
        <v/>
      </c>
      <c r="I42" s="41" t="n">
        <v>0</v>
      </c>
      <c r="J42" s="41" t="n">
        <v>0</v>
      </c>
      <c r="K42" s="156" t="n">
        <v>0</v>
      </c>
      <c r="L42" s="108" t="n">
        <v>0</v>
      </c>
      <c r="M42" s="96" t="n">
        <v>0</v>
      </c>
      <c r="N42" s="4" t="n">
        <v>0</v>
      </c>
      <c r="O42" s="6" t="n">
        <v>0</v>
      </c>
      <c r="P42" s="179" t="n"/>
      <c r="Q42" s="164" t="n"/>
      <c r="R42" s="40">
        <f>SUM(N42:Q42)</f>
        <v/>
      </c>
      <c r="S42" s="41" t="n">
        <v>0</v>
      </c>
      <c r="T42" s="41" t="n">
        <v>0</v>
      </c>
      <c r="U42" s="98" t="n">
        <v>0</v>
      </c>
      <c r="V42" s="45" t="n">
        <v>0</v>
      </c>
      <c r="W42" s="140" t="n">
        <v>1</v>
      </c>
      <c r="X42" s="4" t="n">
        <v>0</v>
      </c>
      <c r="Y42" s="6" t="n">
        <v>1</v>
      </c>
      <c r="Z42" s="179" t="n"/>
      <c r="AA42" s="164" t="n"/>
      <c r="AB42" s="40">
        <f>SUM(X42:AA42)</f>
        <v/>
      </c>
      <c r="AC42" s="41" t="n">
        <v>0</v>
      </c>
      <c r="AD42" s="41">
        <f>Y42/W42%</f>
        <v/>
      </c>
      <c r="AE42" s="98">
        <f>(X42+Y42)/(V42+W42)%</f>
        <v/>
      </c>
      <c r="AF42" s="144">
        <f>(D42+E42+N42+O42+X42+Y42)/(B42+C42+L42+M42+V42+W42)*100</f>
        <v/>
      </c>
      <c r="AG42" s="43">
        <f>(D16+E16+N16+O16+X16+Y16+D42+E42+N42+O42+X42+Y42)/(B16+C16+L16+M16+V16+W16+B42+C42+L42+M42+V42+W42)*100</f>
        <v/>
      </c>
    </row>
    <row r="43">
      <c r="A43" s="132" t="inlineStr">
        <is>
          <t>PMA06 ทอด</t>
        </is>
      </c>
      <c r="B43" s="45" t="n">
        <v>0</v>
      </c>
      <c r="C43" s="96" t="n">
        <v>0</v>
      </c>
      <c r="D43" s="4" t="n">
        <v>0</v>
      </c>
      <c r="E43" s="4" t="n">
        <v>0</v>
      </c>
      <c r="F43" s="174" t="n"/>
      <c r="G43" s="164" t="n"/>
      <c r="H43" s="4">
        <f>SUM(D43:G43)</f>
        <v/>
      </c>
      <c r="I43" s="41" t="n">
        <v>0</v>
      </c>
      <c r="J43" s="41" t="n">
        <v>0</v>
      </c>
      <c r="K43" s="156" t="n">
        <v>0</v>
      </c>
      <c r="L43" s="108" t="n">
        <v>0</v>
      </c>
      <c r="M43" s="96" t="n">
        <v>0</v>
      </c>
      <c r="N43" s="4" t="n">
        <v>0</v>
      </c>
      <c r="O43" s="6" t="n">
        <v>0</v>
      </c>
      <c r="P43" s="179" t="n"/>
      <c r="Q43" s="164" t="n"/>
      <c r="R43" s="40">
        <f>SUM(N43:Q43)</f>
        <v/>
      </c>
      <c r="S43" s="41" t="n">
        <v>0</v>
      </c>
      <c r="T43" s="41" t="n">
        <v>0</v>
      </c>
      <c r="U43" s="98" t="n">
        <v>0</v>
      </c>
      <c r="V43" s="45" t="n">
        <v>0</v>
      </c>
      <c r="W43" s="140" t="n">
        <v>0</v>
      </c>
      <c r="X43" s="4" t="n">
        <v>0</v>
      </c>
      <c r="Y43" s="6" t="n">
        <v>0</v>
      </c>
      <c r="Z43" s="179" t="n"/>
      <c r="AA43" s="164" t="n"/>
      <c r="AB43" s="40">
        <f>SUM(X43:AA43)</f>
        <v/>
      </c>
      <c r="AC43" s="41" t="n">
        <v>0</v>
      </c>
      <c r="AD43" s="41" t="n">
        <v>0</v>
      </c>
      <c r="AE43" s="98" t="n">
        <v>0</v>
      </c>
      <c r="AF43" s="144" t="n">
        <v>0</v>
      </c>
      <c r="AG43" s="43" t="n">
        <v>0</v>
      </c>
    </row>
    <row r="44">
      <c r="A44" s="132" t="inlineStr">
        <is>
          <t>PMA06 โครงการพิเศษ</t>
        </is>
      </c>
      <c r="B44" s="45" t="n">
        <v>0</v>
      </c>
      <c r="C44" s="96" t="n">
        <v>0</v>
      </c>
      <c r="D44" s="35" t="n">
        <v>0</v>
      </c>
      <c r="E44" s="35" t="n">
        <v>0</v>
      </c>
      <c r="F44" s="175" t="n"/>
      <c r="G44" s="166" t="n"/>
      <c r="H44" s="4">
        <f>SUM(D44:G44)</f>
        <v/>
      </c>
      <c r="I44" s="41" t="n">
        <v>0</v>
      </c>
      <c r="J44" s="41" t="n">
        <v>0</v>
      </c>
      <c r="K44" s="156" t="n">
        <v>0</v>
      </c>
      <c r="L44" s="108" t="n">
        <v>0</v>
      </c>
      <c r="M44" s="96" t="n">
        <v>0</v>
      </c>
      <c r="N44" s="4" t="n">
        <v>0</v>
      </c>
      <c r="O44" s="6" t="n">
        <v>0</v>
      </c>
      <c r="P44" s="179" t="n"/>
      <c r="Q44" s="195" t="n">
        <v>1</v>
      </c>
      <c r="R44" s="40">
        <f>SUM(N44:Q44)</f>
        <v/>
      </c>
      <c r="S44" s="41" t="n">
        <v>0</v>
      </c>
      <c r="T44" s="41" t="n">
        <v>0</v>
      </c>
      <c r="U44" s="98" t="n">
        <v>0</v>
      </c>
      <c r="V44" s="47" t="n">
        <v>1</v>
      </c>
      <c r="W44" s="141" t="n">
        <v>0</v>
      </c>
      <c r="X44" s="4" t="n">
        <v>1</v>
      </c>
      <c r="Y44" s="6" t="n">
        <v>0</v>
      </c>
      <c r="Z44" s="179" t="n"/>
      <c r="AA44" s="200" t="n"/>
      <c r="AB44" s="4">
        <f>SUM(X44:AA44)</f>
        <v/>
      </c>
      <c r="AC44" s="41">
        <f>X44/V44%</f>
        <v/>
      </c>
      <c r="AD44" s="41" t="n">
        <v>0</v>
      </c>
      <c r="AE44" s="98">
        <f>(X44+Y44)/(V44+W44)%</f>
        <v/>
      </c>
      <c r="AF44" s="144">
        <f>(D44+E44+N44+O44+X44+Y44)/(B44+C44+L44+M44+V44+W44)*100</f>
        <v/>
      </c>
      <c r="AG44" s="43">
        <f>(D18+E18+N18+O18+X18+Y18+D44+E44+N44+O44+X44+Y44)/(B18+C18+L18+M18+V18+W18+B44+C44+L44+M44+V44+W44)*100</f>
        <v/>
      </c>
      <c r="AU44" t="inlineStr">
        <is>
          <t> </t>
        </is>
      </c>
    </row>
    <row r="45">
      <c r="A45" s="135" t="inlineStr">
        <is>
          <t>PMA76 โครงการพิเศษ</t>
        </is>
      </c>
      <c r="B45" s="45" t="n">
        <v>0</v>
      </c>
      <c r="C45" s="96" t="n">
        <v>0</v>
      </c>
      <c r="D45" s="35" t="n">
        <v>0</v>
      </c>
      <c r="E45" s="35" t="n">
        <v>0</v>
      </c>
      <c r="F45" s="175" t="n"/>
      <c r="G45" s="166" t="n"/>
      <c r="H45" s="4">
        <f>SUM(D45:G45)</f>
        <v/>
      </c>
      <c r="I45" s="41" t="n">
        <v>0</v>
      </c>
      <c r="J45" s="41" t="n">
        <v>0</v>
      </c>
      <c r="K45" s="156" t="n">
        <v>0</v>
      </c>
      <c r="L45" s="112" t="n">
        <v>0</v>
      </c>
      <c r="M45" s="130" t="n">
        <v>0</v>
      </c>
      <c r="N45" s="41" t="n">
        <v>0</v>
      </c>
      <c r="O45" s="40" t="n">
        <v>0</v>
      </c>
      <c r="P45" s="190" t="n"/>
      <c r="Q45" s="198" t="n"/>
      <c r="R45" s="5">
        <f>SUM(N45:Q45)</f>
        <v/>
      </c>
      <c r="S45" s="41" t="n">
        <v>0</v>
      </c>
      <c r="T45" s="41" t="n">
        <v>0</v>
      </c>
      <c r="U45" s="98" t="n">
        <v>0</v>
      </c>
      <c r="V45" s="45" t="n">
        <v>0</v>
      </c>
      <c r="W45" s="140" t="n">
        <v>0</v>
      </c>
      <c r="X45" s="4" t="n">
        <v>0</v>
      </c>
      <c r="Y45" s="6" t="n">
        <v>0</v>
      </c>
      <c r="Z45" s="190" t="n"/>
      <c r="AA45" s="201" t="n"/>
      <c r="AB45" s="4">
        <f>SUM(X45:AA45)</f>
        <v/>
      </c>
      <c r="AC45" s="41" t="n">
        <v>0</v>
      </c>
      <c r="AD45" s="41" t="n">
        <v>0</v>
      </c>
      <c r="AE45" s="98" t="n">
        <v>0</v>
      </c>
      <c r="AF45" s="144" t="n">
        <v>0</v>
      </c>
      <c r="AG45" s="43" t="n">
        <v>0</v>
      </c>
    </row>
    <row r="46">
      <c r="A46" s="135" t="inlineStr">
        <is>
          <t>non 7-11 โครงการพิเศษ</t>
        </is>
      </c>
      <c r="B46" s="64" t="n">
        <v>6</v>
      </c>
      <c r="C46" s="129" t="n">
        <v>0</v>
      </c>
      <c r="D46" s="4" t="n">
        <v>6</v>
      </c>
      <c r="E46" s="4" t="n">
        <v>0</v>
      </c>
      <c r="F46" s="175" t="n"/>
      <c r="G46" s="166" t="n"/>
      <c r="H46" s="4">
        <f>SUM(D46:G46)</f>
        <v/>
      </c>
      <c r="I46" s="41">
        <f>D46/B46%</f>
        <v/>
      </c>
      <c r="J46" s="41" t="n">
        <v>0</v>
      </c>
      <c r="K46" s="156">
        <f>(D46+E46)/(B46+C46)%</f>
        <v/>
      </c>
      <c r="L46" s="112" t="n">
        <v>0</v>
      </c>
      <c r="M46" s="130" t="n">
        <v>0</v>
      </c>
      <c r="N46" s="41" t="n">
        <v>0</v>
      </c>
      <c r="O46" s="51" t="n">
        <v>0</v>
      </c>
      <c r="P46" s="208" t="n"/>
      <c r="Q46" s="198" t="n"/>
      <c r="R46" s="211">
        <f>SUM(N46:Q46)</f>
        <v/>
      </c>
      <c r="S46" s="41" t="n">
        <v>0</v>
      </c>
      <c r="T46" s="41" t="n">
        <v>0</v>
      </c>
      <c r="U46" s="98" t="n">
        <v>0</v>
      </c>
      <c r="V46" s="45" t="n">
        <v>0</v>
      </c>
      <c r="W46" s="140" t="n">
        <v>0</v>
      </c>
      <c r="X46" s="4" t="n">
        <v>0</v>
      </c>
      <c r="Y46" s="6" t="n">
        <v>0</v>
      </c>
      <c r="Z46" s="191" t="n"/>
      <c r="AA46" s="203" t="n">
        <v>1</v>
      </c>
      <c r="AB46" s="4">
        <f>SUM(X46:AA46)</f>
        <v/>
      </c>
      <c r="AC46" s="41" t="n">
        <v>0</v>
      </c>
      <c r="AD46" s="41" t="n">
        <v>0</v>
      </c>
      <c r="AE46" s="98" t="n">
        <v>0</v>
      </c>
      <c r="AF46" s="144">
        <f>(D46+E46+N46+O46+X46+Y46)/(B46+C46+L46+M46+V46+W46)*100</f>
        <v/>
      </c>
      <c r="AG46" s="43">
        <f>(D20+E20+N20+O20+X20+Y20+D46+E46+N46+O46+X46+Y46)/(B20+C20+L20+M20+V20+W20+B46+C46+L46+M46+V46+W46)*100</f>
        <v/>
      </c>
    </row>
    <row r="47">
      <c r="A47" s="136" t="inlineStr">
        <is>
          <t>ติ่มซำ non-7 ในประเทศ</t>
        </is>
      </c>
      <c r="B47" s="39" t="n">
        <v>0</v>
      </c>
      <c r="C47" s="96" t="n">
        <v>0</v>
      </c>
      <c r="D47" s="4" t="n">
        <v>0</v>
      </c>
      <c r="E47" s="4" t="n">
        <v>0</v>
      </c>
      <c r="F47" s="174" t="n"/>
      <c r="G47" s="164" t="n"/>
      <c r="H47" s="4">
        <f>SUM(D47:G47)</f>
        <v/>
      </c>
      <c r="I47" s="41" t="n">
        <v>0</v>
      </c>
      <c r="J47" s="41" t="n">
        <v>0</v>
      </c>
      <c r="K47" s="156" t="n">
        <v>0</v>
      </c>
      <c r="L47" s="112" t="n">
        <v>0</v>
      </c>
      <c r="M47" s="130" t="n">
        <v>0</v>
      </c>
      <c r="N47" s="40" t="n">
        <v>0</v>
      </c>
      <c r="O47" s="63" t="n">
        <v>0</v>
      </c>
      <c r="P47" s="191" t="n"/>
      <c r="Q47" s="206" t="n"/>
      <c r="R47" s="63">
        <f>SUM(N47:Q47)</f>
        <v/>
      </c>
      <c r="S47" s="42" t="n">
        <v>0</v>
      </c>
      <c r="T47" s="41" t="n">
        <v>0</v>
      </c>
      <c r="U47" s="98" t="n">
        <v>0</v>
      </c>
      <c r="V47" s="39" t="n">
        <v>0</v>
      </c>
      <c r="W47" s="142" t="n">
        <v>0</v>
      </c>
      <c r="X47" s="41" t="n">
        <v>0</v>
      </c>
      <c r="Y47" s="51" t="n">
        <v>0</v>
      </c>
      <c r="Z47" s="190" t="n"/>
      <c r="AA47" s="212" t="n"/>
      <c r="AB47" s="4">
        <f>SUM(X47:AA47)</f>
        <v/>
      </c>
      <c r="AC47" s="41" t="n">
        <v>0</v>
      </c>
      <c r="AD47" s="41" t="n">
        <v>0</v>
      </c>
      <c r="AE47" s="98" t="n">
        <v>0</v>
      </c>
      <c r="AF47" s="144" t="n">
        <v>0</v>
      </c>
      <c r="AG47" s="43" t="n">
        <v>0</v>
      </c>
    </row>
    <row r="48">
      <c r="A48" s="132" t="inlineStr">
        <is>
          <t>ส่งออก โครงการพิเศษ</t>
        </is>
      </c>
      <c r="B48" s="45" t="n">
        <v>0</v>
      </c>
      <c r="C48" s="96" t="n">
        <v>0</v>
      </c>
      <c r="D48" s="35" t="n">
        <v>0</v>
      </c>
      <c r="E48" s="35" t="n">
        <v>0</v>
      </c>
      <c r="F48" s="175" t="n"/>
      <c r="G48" s="166" t="n"/>
      <c r="H48" s="4">
        <f>SUM(D48:G48)</f>
        <v/>
      </c>
      <c r="I48" s="41" t="n">
        <v>0</v>
      </c>
      <c r="J48" s="41" t="n">
        <v>0</v>
      </c>
      <c r="K48" s="156" t="n">
        <v>0</v>
      </c>
      <c r="L48" s="112" t="n">
        <v>0</v>
      </c>
      <c r="M48" s="130" t="n">
        <v>0</v>
      </c>
      <c r="N48" s="40" t="n">
        <v>0</v>
      </c>
      <c r="O48" s="63" t="n">
        <v>0</v>
      </c>
      <c r="P48" s="191" t="n"/>
      <c r="Q48" s="199" t="n"/>
      <c r="R48" s="63">
        <f>SUM(N48:Q48)</f>
        <v/>
      </c>
      <c r="S48" s="42" t="n">
        <v>0</v>
      </c>
      <c r="T48" s="41" t="n">
        <v>0</v>
      </c>
      <c r="U48" s="98" t="n">
        <v>0</v>
      </c>
      <c r="V48" s="45" t="n">
        <v>0</v>
      </c>
      <c r="W48" s="140" t="n">
        <v>0</v>
      </c>
      <c r="X48" s="6" t="n">
        <v>0</v>
      </c>
      <c r="Y48" s="63" t="n">
        <v>0</v>
      </c>
      <c r="Z48" s="191" t="n"/>
      <c r="AA48" s="199" t="n"/>
      <c r="AB48" s="46">
        <f>SUM(X48:AA48)</f>
        <v/>
      </c>
      <c r="AC48" s="41" t="n">
        <v>0</v>
      </c>
      <c r="AD48" s="41" t="n">
        <v>0</v>
      </c>
      <c r="AE48" s="98" t="n">
        <v>0</v>
      </c>
      <c r="AF48" s="144" t="n">
        <v>0</v>
      </c>
      <c r="AG48" s="43" t="n">
        <v>0</v>
      </c>
    </row>
    <row r="49">
      <c r="A49" s="207" t="inlineStr">
        <is>
          <t>ส่่งออก ทีมข้าวFrozen</t>
        </is>
      </c>
      <c r="B49" s="119" t="n">
        <v>0</v>
      </c>
      <c r="C49" s="108" t="n">
        <v>0</v>
      </c>
      <c r="D49" s="215" t="n">
        <v>0</v>
      </c>
      <c r="E49" s="216" t="n">
        <v>0</v>
      </c>
      <c r="F49" s="217" t="n"/>
      <c r="G49" s="218" t="n"/>
      <c r="H49" s="219">
        <f>SUM(D49:G49)</f>
        <v/>
      </c>
      <c r="I49" s="63" t="n">
        <v>0</v>
      </c>
      <c r="J49" s="42" t="n">
        <v>0</v>
      </c>
      <c r="K49" s="98" t="n">
        <v>0</v>
      </c>
      <c r="L49" s="119" t="n">
        <v>0</v>
      </c>
      <c r="M49" s="108" t="n">
        <v>0</v>
      </c>
      <c r="N49" s="215" t="n">
        <v>0</v>
      </c>
      <c r="O49" s="216" t="n">
        <v>0</v>
      </c>
      <c r="P49" s="217" t="n"/>
      <c r="Q49" s="218" t="n"/>
      <c r="R49" s="219">
        <f>SUM(N49:Q49)</f>
        <v/>
      </c>
      <c r="S49" s="63" t="n">
        <v>0</v>
      </c>
      <c r="T49" s="42" t="n">
        <v>0</v>
      </c>
      <c r="U49" s="98" t="n">
        <v>0</v>
      </c>
      <c r="V49" s="119" t="n">
        <v>0</v>
      </c>
      <c r="W49" s="108" t="n">
        <v>0</v>
      </c>
      <c r="X49" s="215" t="n">
        <v>0</v>
      </c>
      <c r="Y49" s="216" t="n">
        <v>0</v>
      </c>
      <c r="Z49" s="217" t="n"/>
      <c r="AA49" s="218" t="n"/>
      <c r="AB49" s="219">
        <f>SUM(X49:AA49)</f>
        <v/>
      </c>
      <c r="AC49" s="63" t="n">
        <v>0</v>
      </c>
      <c r="AD49" s="42" t="n">
        <v>0</v>
      </c>
      <c r="AE49" s="98" t="n">
        <v>0</v>
      </c>
      <c r="AF49" s="144" t="n">
        <v>0</v>
      </c>
      <c r="AG49" s="43" t="n">
        <v>0</v>
      </c>
    </row>
    <row r="50">
      <c r="A50" s="131" t="inlineStr">
        <is>
          <t>ติ่มซำส่งออก</t>
        </is>
      </c>
      <c r="B50" s="39" t="n">
        <v>0</v>
      </c>
      <c r="C50" s="96" t="n">
        <v>0</v>
      </c>
      <c r="D50" s="4" t="n">
        <v>0</v>
      </c>
      <c r="E50" s="4" t="n">
        <v>0</v>
      </c>
      <c r="F50" s="174" t="n"/>
      <c r="G50" s="164" t="n">
        <v>6</v>
      </c>
      <c r="H50" s="4">
        <f>SUM(D50:G50)</f>
        <v/>
      </c>
      <c r="I50" s="41" t="n">
        <v>0</v>
      </c>
      <c r="J50" s="41" t="n">
        <v>0</v>
      </c>
      <c r="K50" s="156" t="n">
        <v>0</v>
      </c>
      <c r="L50" s="112" t="n">
        <v>2</v>
      </c>
      <c r="M50" s="130" t="n">
        <v>0</v>
      </c>
      <c r="N50" s="41" t="n">
        <v>2</v>
      </c>
      <c r="O50" s="40" t="n">
        <v>0</v>
      </c>
      <c r="P50" s="184" t="n"/>
      <c r="Q50" s="169" t="n"/>
      <c r="R50" s="40">
        <f>SUM(N50:Q50)</f>
        <v/>
      </c>
      <c r="S50" s="41">
        <f>N50/L50%</f>
        <v/>
      </c>
      <c r="T50" s="41" t="n">
        <v>0</v>
      </c>
      <c r="U50" s="98">
        <f>(N50+O50)/(L50+M50)%</f>
        <v/>
      </c>
      <c r="V50" s="39" t="n">
        <v>3</v>
      </c>
      <c r="W50" s="142" t="n">
        <v>0</v>
      </c>
      <c r="X50" s="41" t="n">
        <v>3</v>
      </c>
      <c r="Y50" s="40" t="n">
        <v>0</v>
      </c>
      <c r="Z50" s="184" t="n"/>
      <c r="AA50" s="202" t="n">
        <v>7</v>
      </c>
      <c r="AB50" s="4">
        <f>SUM(X50:AA50)</f>
        <v/>
      </c>
      <c r="AC50" s="41">
        <f>X50/V50%</f>
        <v/>
      </c>
      <c r="AD50" s="41" t="n">
        <v>0</v>
      </c>
      <c r="AE50" s="98">
        <f>(X50+Y50)/(V50+W50)%</f>
        <v/>
      </c>
      <c r="AF50" s="144">
        <f>(D50+E50+N50+O50+X50+Y50)/(B50+C50+L50+M50+V50+W50)*100</f>
        <v/>
      </c>
      <c r="AG50" s="43">
        <f>(D24+E24+N24+O24+X24+Y24+D50+E50+N50+O50+X50+Y50)/(B24+C24+L24+M24+V24+W24+B50+C50+L50+M50+V50+W50)*100</f>
        <v/>
      </c>
    </row>
    <row r="51" ht="15" customHeight="1" thickBot="1">
      <c r="A51" s="137" t="inlineStr">
        <is>
          <t>Snack ส่งออก</t>
        </is>
      </c>
      <c r="B51" s="102" t="n">
        <v>0</v>
      </c>
      <c r="C51" s="139" t="n">
        <v>0</v>
      </c>
      <c r="D51" s="103" t="n">
        <v>0</v>
      </c>
      <c r="E51" s="103" t="n">
        <v>0</v>
      </c>
      <c r="F51" s="176" t="n"/>
      <c r="G51" s="170" t="n">
        <v>6</v>
      </c>
      <c r="H51" s="103">
        <f>SUM(D51:G51)</f>
        <v/>
      </c>
      <c r="I51" s="125" t="n">
        <v>0</v>
      </c>
      <c r="J51" s="103" t="n">
        <v>0</v>
      </c>
      <c r="K51" s="156" t="n">
        <v>0</v>
      </c>
      <c r="L51" s="113" t="n">
        <v>0</v>
      </c>
      <c r="M51" s="139" t="n">
        <v>0</v>
      </c>
      <c r="N51" s="50" t="n">
        <v>0</v>
      </c>
      <c r="O51" s="8" t="n">
        <v>0</v>
      </c>
      <c r="P51" s="189" t="n"/>
      <c r="Q51" s="195" t="n">
        <v>9</v>
      </c>
      <c r="R51" s="51">
        <f>SUM(N51:Q51)</f>
        <v/>
      </c>
      <c r="S51" s="125" t="n">
        <v>0</v>
      </c>
      <c r="T51" s="103" t="n">
        <v>0</v>
      </c>
      <c r="U51" s="98" t="n">
        <v>0</v>
      </c>
      <c r="V51" s="49" t="n">
        <v>0</v>
      </c>
      <c r="W51" s="143" t="n">
        <v>0</v>
      </c>
      <c r="X51" s="103" t="n">
        <v>0</v>
      </c>
      <c r="Y51" s="8" t="n">
        <v>0</v>
      </c>
      <c r="Z51" s="189" t="n"/>
      <c r="AA51" s="195" t="n">
        <v>9</v>
      </c>
      <c r="AB51" s="51">
        <f>SUM(X51:AA51)</f>
        <v/>
      </c>
      <c r="AC51" s="125" t="n">
        <v>0</v>
      </c>
      <c r="AD51" s="103" t="n">
        <v>0</v>
      </c>
      <c r="AE51" s="98" t="n">
        <v>0</v>
      </c>
      <c r="AF51" s="144" t="n">
        <v>0</v>
      </c>
      <c r="AG51" s="95">
        <f>(D25+E25+N25+O25+X25+Y25+D51+E51+N51+O51+X51+Y51)/(B25+C25+L25+M25+V25+W25+B51+C51+L51+M51+V51+W51)*100</f>
        <v/>
      </c>
    </row>
    <row r="52" ht="15" customFormat="1" customHeight="1" s="11" thickBot="1">
      <c r="A52" s="157" t="inlineStr">
        <is>
          <t>Total</t>
        </is>
      </c>
      <c r="B52" s="158">
        <f>SUM(B31:B51)</f>
        <v/>
      </c>
      <c r="C52" s="158">
        <f>SUM(C31:C51)</f>
        <v/>
      </c>
      <c r="D52" s="159">
        <f>SUM(D31:D51)</f>
        <v/>
      </c>
      <c r="E52" s="159">
        <f>SUM(E31:E51)</f>
        <v/>
      </c>
      <c r="F52" s="177">
        <f>SUM(F31:F51)</f>
        <v/>
      </c>
      <c r="G52" s="197">
        <f>SUM(G31:G51)</f>
        <v/>
      </c>
      <c r="H52" s="159">
        <f>SUM(H31:H51)</f>
        <v/>
      </c>
      <c r="I52" s="159">
        <f>D52/B52%</f>
        <v/>
      </c>
      <c r="J52" s="159">
        <f>E52/C52%</f>
        <v/>
      </c>
      <c r="K52" s="160">
        <f>(D52+E52)/(B52+C52)%</f>
        <v/>
      </c>
      <c r="L52" s="161">
        <f>SUM(L31:L51)</f>
        <v/>
      </c>
      <c r="M52" s="84">
        <f>SUM(M31:M51)</f>
        <v/>
      </c>
      <c r="N52" s="85">
        <f>SUM(N31:N51)</f>
        <v/>
      </c>
      <c r="O52" s="85">
        <f>SUM(O31:O51)</f>
        <v/>
      </c>
      <c r="P52" s="186">
        <f>SUM(P31:P51)</f>
        <v/>
      </c>
      <c r="Q52" s="171">
        <f>SUM(Q31:Q51)</f>
        <v/>
      </c>
      <c r="R52" s="85">
        <f>SUM(R31:R51)</f>
        <v/>
      </c>
      <c r="S52" s="85">
        <f>N52/L52%</f>
        <v/>
      </c>
      <c r="T52" s="85">
        <f>O52/M52%</f>
        <v/>
      </c>
      <c r="U52" s="85">
        <f>(N52+O52)/(L52+M52)%</f>
        <v/>
      </c>
      <c r="V52" s="84">
        <f>SUM(V31:V51)</f>
        <v/>
      </c>
      <c r="W52" s="84">
        <f>SUM(W31:W51)</f>
        <v/>
      </c>
      <c r="X52" s="85">
        <f>SUM(X31:X51)</f>
        <v/>
      </c>
      <c r="Y52" s="85">
        <f>SUM(Y31:Y51)</f>
        <v/>
      </c>
      <c r="Z52" s="186">
        <f>SUM(Z31:Z51)</f>
        <v/>
      </c>
      <c r="AA52" s="171">
        <f>SUM(AA31:AA51)</f>
        <v/>
      </c>
      <c r="AB52" s="85">
        <f>SUM(AB31:AB51)</f>
        <v/>
      </c>
      <c r="AC52" s="85">
        <f>X52/V52%</f>
        <v/>
      </c>
      <c r="AD52" s="85">
        <f>Y52/W52%</f>
        <v/>
      </c>
      <c r="AE52" s="85">
        <f>(X52+Y52)/(V52+W52)%</f>
        <v/>
      </c>
      <c r="AF52" s="37">
        <f>((D52+E52+N52+
O52+X52+Y52))/((B52+C52+L52+M52+V52+W52))*100</f>
        <v/>
      </c>
      <c r="AG52" s="145">
        <f>(D26+E26+N26+O26+X26+Y26+D52+E52+N52+O52+X52+Y52)/(B26+C26+L26+M26+V26+W26+B52+C52+L52+M52+V52+W52)*100</f>
        <v/>
      </c>
    </row>
    <row r="53" ht="17.45" customHeight="1" thickBot="1">
      <c r="A53" s="82" t="inlineStr">
        <is>
          <t>จำนวนสินค้าใหม่ RTE Q3/2023</t>
        </is>
      </c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</row>
    <row r="54">
      <c r="A54" s="845" t="inlineStr">
        <is>
          <t>กลุ่มสินค้า</t>
        </is>
      </c>
      <c r="B54" s="846" t="n">
        <v>45108</v>
      </c>
      <c r="C54" s="847" t="n"/>
      <c r="D54" s="847" t="n"/>
      <c r="E54" s="847" t="n"/>
      <c r="F54" s="847" t="n"/>
      <c r="G54" s="847" t="n"/>
      <c r="H54" s="847" t="n"/>
      <c r="I54" s="847" t="n"/>
      <c r="J54" s="847" t="n"/>
      <c r="K54" s="847" t="n"/>
      <c r="L54" s="848" t="n">
        <v>45139</v>
      </c>
      <c r="M54" s="847" t="n"/>
      <c r="N54" s="847" t="n"/>
      <c r="O54" s="847" t="n"/>
      <c r="P54" s="847" t="n"/>
      <c r="Q54" s="847" t="n"/>
      <c r="R54" s="847" t="n"/>
      <c r="S54" s="847" t="n"/>
      <c r="T54" s="847" t="n"/>
      <c r="U54" s="849" t="n"/>
      <c r="V54" s="850" t="n">
        <v>45170</v>
      </c>
      <c r="W54" s="817" t="n"/>
      <c r="X54" s="817" t="n"/>
      <c r="Y54" s="817" t="n"/>
      <c r="Z54" s="817" t="n"/>
      <c r="AA54" s="817" t="n"/>
      <c r="AB54" s="817" t="n"/>
      <c r="AC54" s="817" t="n"/>
      <c r="AD54" s="817" t="n"/>
      <c r="AE54" s="818" t="n"/>
      <c r="AF54" s="851" t="inlineStr">
        <is>
          <t>Q3/2023</t>
        </is>
      </c>
      <c r="AG54" s="852" t="inlineStr">
        <is>
          <t>Q3 สะสม
2023</t>
        </is>
      </c>
    </row>
    <row r="55">
      <c r="A55" s="853" t="n"/>
      <c r="B55" s="839" t="inlineStr">
        <is>
          <t>แผนขาย</t>
        </is>
      </c>
      <c r="C55" s="342" t="n"/>
      <c r="D55" s="840" t="inlineStr">
        <is>
          <t>ขายได้</t>
        </is>
      </c>
      <c r="E55" s="841" t="n"/>
      <c r="F55" s="842" t="inlineStr">
        <is>
          <t>หยุดพัฒนา</t>
        </is>
      </c>
      <c r="G55" s="841" t="n"/>
      <c r="H55" s="732" t="inlineStr">
        <is>
          <t>พัฒนาทั้งหมด</t>
        </is>
      </c>
      <c r="I55" s="824" t="inlineStr">
        <is>
          <t>%success</t>
        </is>
      </c>
      <c r="J55" s="825" t="n"/>
      <c r="K55" s="826" t="n"/>
      <c r="L55" s="839" t="inlineStr">
        <is>
          <t>แผนขาย</t>
        </is>
      </c>
      <c r="M55" s="342" t="n"/>
      <c r="N55" s="840" t="inlineStr">
        <is>
          <t>ขายได้</t>
        </is>
      </c>
      <c r="O55" s="841" t="n"/>
      <c r="P55" s="842" t="inlineStr">
        <is>
          <t>หยุดพัฒนา</t>
        </is>
      </c>
      <c r="Q55" s="841" t="n"/>
      <c r="R55" s="712" t="inlineStr">
        <is>
          <t>พัฒนาทั้งหมด</t>
        </is>
      </c>
      <c r="S55" s="824" t="inlineStr">
        <is>
          <t>%success</t>
        </is>
      </c>
      <c r="T55" s="825" t="n"/>
      <c r="U55" s="826" t="n"/>
      <c r="V55" s="839" t="inlineStr">
        <is>
          <t>แผนขาย</t>
        </is>
      </c>
      <c r="W55" s="342" t="n"/>
      <c r="X55" s="821" t="inlineStr">
        <is>
          <t>ขายได้</t>
        </is>
      </c>
      <c r="Y55" s="822" t="n"/>
      <c r="Z55" s="823" t="inlineStr">
        <is>
          <t>หยุดพัฒนา</t>
        </is>
      </c>
      <c r="AA55" s="822" t="n"/>
      <c r="AB55" s="717" t="inlineStr">
        <is>
          <t>พัฒนาทั้งหมด</t>
        </is>
      </c>
      <c r="AC55" s="824" t="inlineStr">
        <is>
          <t>%success</t>
        </is>
      </c>
      <c r="AD55" s="825" t="n"/>
      <c r="AE55" s="826" t="n"/>
      <c r="AF55" s="854" t="n"/>
      <c r="AG55" s="828" t="n"/>
    </row>
    <row r="56" ht="15" customHeight="1" thickBot="1">
      <c r="A56" s="855" t="n"/>
      <c r="B56" s="149" t="inlineStr">
        <is>
          <t>New</t>
        </is>
      </c>
      <c r="C56" s="148" t="inlineStr">
        <is>
          <t>Imp</t>
        </is>
      </c>
      <c r="D56" s="9" t="inlineStr">
        <is>
          <t>New</t>
        </is>
      </c>
      <c r="E56" s="9" t="inlineStr">
        <is>
          <t>Imp</t>
        </is>
      </c>
      <c r="F56" s="172" t="inlineStr">
        <is>
          <t>ตามแผน</t>
        </is>
      </c>
      <c r="G56" s="162" t="inlineStr">
        <is>
          <t>นอกแผน</t>
        </is>
      </c>
      <c r="H56" s="830" t="n"/>
      <c r="I56" s="116" t="inlineStr">
        <is>
          <t>New</t>
        </is>
      </c>
      <c r="J56" s="116" t="inlineStr">
        <is>
          <t>Imp</t>
        </is>
      </c>
      <c r="K56" s="115" t="inlineStr">
        <is>
          <t>รวม</t>
        </is>
      </c>
      <c r="L56" s="149" t="inlineStr">
        <is>
          <t>New</t>
        </is>
      </c>
      <c r="M56" s="148" t="inlineStr">
        <is>
          <t>Imp</t>
        </is>
      </c>
      <c r="N56" s="9" t="inlineStr">
        <is>
          <t>New</t>
        </is>
      </c>
      <c r="O56" s="9" t="inlineStr">
        <is>
          <t>Imp</t>
        </is>
      </c>
      <c r="P56" s="172" t="inlineStr">
        <is>
          <t>ตามแผน</t>
        </is>
      </c>
      <c r="Q56" s="162" t="inlineStr">
        <is>
          <t>นอกแผน</t>
        </is>
      </c>
      <c r="R56" s="801" t="n"/>
      <c r="S56" s="116" t="inlineStr">
        <is>
          <t>New</t>
        </is>
      </c>
      <c r="T56" s="116" t="inlineStr">
        <is>
          <t>Imp</t>
        </is>
      </c>
      <c r="U56" s="115" t="inlineStr">
        <is>
          <t>รวม</t>
        </is>
      </c>
      <c r="V56" s="149" t="inlineStr">
        <is>
          <t>New</t>
        </is>
      </c>
      <c r="W56" s="148" t="inlineStr">
        <is>
          <t>Imp</t>
        </is>
      </c>
      <c r="X56" s="38" t="inlineStr">
        <is>
          <t>New</t>
        </is>
      </c>
      <c r="Y56" s="38" t="inlineStr">
        <is>
          <t>Imp</t>
        </is>
      </c>
      <c r="Z56" s="192" t="inlineStr">
        <is>
          <t>ตามแผน</t>
        </is>
      </c>
      <c r="AA56" s="196" t="inlineStr">
        <is>
          <t>นอกแผน</t>
        </is>
      </c>
      <c r="AB56" s="801" t="n"/>
      <c r="AC56" s="116" t="inlineStr">
        <is>
          <t>New</t>
        </is>
      </c>
      <c r="AD56" s="116" t="inlineStr">
        <is>
          <t>Imp</t>
        </is>
      </c>
      <c r="AE56" s="115" t="inlineStr">
        <is>
          <t>รวม</t>
        </is>
      </c>
      <c r="AF56" s="856" t="n"/>
      <c r="AG56" s="831" t="n"/>
    </row>
    <row r="57">
      <c r="A57" s="62" t="inlineStr">
        <is>
          <t>PMA02</t>
        </is>
      </c>
      <c r="B57" s="118" t="n">
        <v>0</v>
      </c>
      <c r="C57" s="108" t="n">
        <v>0</v>
      </c>
      <c r="D57" s="4" t="n">
        <v>0</v>
      </c>
      <c r="E57" s="6" t="n">
        <v>0</v>
      </c>
      <c r="F57" s="179" t="n"/>
      <c r="G57" s="164" t="n"/>
      <c r="H57" s="99">
        <f>SUM(D57:G57)</f>
        <v/>
      </c>
      <c r="I57" s="121" t="n">
        <v>0</v>
      </c>
      <c r="J57" s="99" t="n">
        <v>0</v>
      </c>
      <c r="K57" s="98" t="n">
        <v>0</v>
      </c>
      <c r="L57" s="118" t="n"/>
      <c r="M57" s="108" t="n"/>
      <c r="N57" s="4" t="n"/>
      <c r="O57" s="6" t="n"/>
      <c r="P57" s="179" t="n"/>
      <c r="Q57" s="164" t="n"/>
      <c r="R57" s="99">
        <f>SUM(N57:Q57)</f>
        <v/>
      </c>
      <c r="S57" s="121">
        <f>N57/L57%</f>
        <v/>
      </c>
      <c r="T57" s="99">
        <f>O57/M57%</f>
        <v/>
      </c>
      <c r="U57" s="98">
        <f>(N57+O57)/(L57+M57)%</f>
        <v/>
      </c>
      <c r="V57" s="118" t="n"/>
      <c r="W57" s="108" t="n"/>
      <c r="X57" s="4" t="n"/>
      <c r="Y57" s="6" t="n"/>
      <c r="Z57" s="179" t="n"/>
      <c r="AA57" s="164" t="n"/>
      <c r="AB57" s="146">
        <f>SUM(X57:AA57)</f>
        <v/>
      </c>
      <c r="AC57" s="121">
        <f>X57/V57%</f>
        <v/>
      </c>
      <c r="AD57" s="99">
        <f>Y57/W57%</f>
        <v/>
      </c>
      <c r="AE57" s="98">
        <f>(X57+Y57)/(V57+W57)%</f>
        <v/>
      </c>
      <c r="AF57" s="43">
        <f>(D57+E57+N57+O57+X57+Y57)/(B57+L57+V57)*100</f>
        <v/>
      </c>
      <c r="AG57" s="94">
        <f>(D5+E5+N5+O5+X5+Y5+D31+E31+N31+O31+X31+Y31+D57+E57+N57+O57+X57+Y57)/(B5+C5+L5+M5+V5+W5+B31+C31+L31+M31+V31+W31+B57+C57+L57+M57+V57+W57)*100</f>
        <v/>
      </c>
    </row>
    <row r="58">
      <c r="A58" s="62" t="inlineStr">
        <is>
          <t>PMA08</t>
        </is>
      </c>
      <c r="B58" s="101" t="n">
        <v>0</v>
      </c>
      <c r="C58" s="108" t="n">
        <v>1</v>
      </c>
      <c r="D58" s="4" t="n">
        <v>0</v>
      </c>
      <c r="E58" s="6" t="n">
        <v>1</v>
      </c>
      <c r="F58" s="179" t="n"/>
      <c r="G58" s="164" t="n"/>
      <c r="H58" s="41">
        <f>SUM(D58:G58)</f>
        <v/>
      </c>
      <c r="I58" s="42" t="n">
        <v>0</v>
      </c>
      <c r="J58" s="41">
        <f>E58/C58%</f>
        <v/>
      </c>
      <c r="K58" s="98">
        <f>(D58+E58)/(B58+C58)%</f>
        <v/>
      </c>
      <c r="L58" s="101" t="n"/>
      <c r="M58" s="108" t="n"/>
      <c r="N58" s="4" t="n"/>
      <c r="O58" s="6" t="n"/>
      <c r="P58" s="179" t="n"/>
      <c r="Q58" s="164" t="n"/>
      <c r="R58" s="41">
        <f>SUM(N58:Q58)</f>
        <v/>
      </c>
      <c r="S58" s="42">
        <f>N58/L58%</f>
        <v/>
      </c>
      <c r="T58" s="41">
        <f>O58/M58%</f>
        <v/>
      </c>
      <c r="U58" s="98">
        <f>(N58+O58)/(L58+M58)%</f>
        <v/>
      </c>
      <c r="V58" s="101" t="n"/>
      <c r="W58" s="108" t="n"/>
      <c r="X58" s="4" t="n"/>
      <c r="Y58" s="6" t="n"/>
      <c r="Z58" s="179" t="n"/>
      <c r="AA58" s="164" t="n"/>
      <c r="AB58" s="41">
        <f>SUM(X58:AA58)</f>
        <v/>
      </c>
      <c r="AC58" s="42">
        <f>X58/V58%</f>
        <v/>
      </c>
      <c r="AD58" s="41">
        <f>Y58/W58%</f>
        <v/>
      </c>
      <c r="AE58" s="98">
        <f>(X58+Y58)/(V58+W58)%</f>
        <v/>
      </c>
      <c r="AF58" s="43">
        <f>(D58+E58+N58+O58+X58+Y58)/(B58+L58+V58)*100</f>
        <v/>
      </c>
      <c r="AG58" s="43">
        <f>(D6+E6+N6+O6+X6+Y6+D32+E32+N32+O32+X32+Y32+D58+E58+N58+O58+X58+Y58)/(B6+C6+L6+M6+V6+W6+B32+C32+L32+M32+V32+W32+B58+C58+L58+M58+V58+W58)*100</f>
        <v/>
      </c>
    </row>
    <row r="59">
      <c r="A59" s="72" t="inlineStr">
        <is>
          <t>PMA22 ข้าวเหนียว</t>
        </is>
      </c>
      <c r="B59" s="101" t="n">
        <v>0</v>
      </c>
      <c r="C59" s="108" t="n">
        <v>0</v>
      </c>
      <c r="D59" s="4" t="n">
        <v>0</v>
      </c>
      <c r="E59" s="6" t="n">
        <v>0</v>
      </c>
      <c r="F59" s="179" t="n"/>
      <c r="G59" s="164" t="n"/>
      <c r="H59" s="41">
        <f>SUM(D59:G59)</f>
        <v/>
      </c>
      <c r="I59" s="42" t="n">
        <v>0</v>
      </c>
      <c r="J59" s="41" t="n">
        <v>0</v>
      </c>
      <c r="K59" s="98" t="n">
        <v>0</v>
      </c>
      <c r="L59" s="101" t="n"/>
      <c r="M59" s="108" t="n"/>
      <c r="N59" s="4" t="n"/>
      <c r="O59" s="6" t="n"/>
      <c r="P59" s="179" t="n"/>
      <c r="Q59" s="164" t="n"/>
      <c r="R59" s="41">
        <f>SUM(N59:Q59)</f>
        <v/>
      </c>
      <c r="S59" s="42">
        <f>N59/L59%</f>
        <v/>
      </c>
      <c r="T59" s="41">
        <f>O59/M59%</f>
        <v/>
      </c>
      <c r="U59" s="98">
        <f>(N59+O59)/(L59+M59)%</f>
        <v/>
      </c>
      <c r="V59" s="101" t="n"/>
      <c r="W59" s="108" t="n"/>
      <c r="X59" s="4" t="n"/>
      <c r="Y59" s="6" t="n"/>
      <c r="Z59" s="179" t="n"/>
      <c r="AA59" s="164" t="n"/>
      <c r="AB59" s="41">
        <f>SUM(X59:AA59)</f>
        <v/>
      </c>
      <c r="AC59" s="42">
        <f>X59/V59%</f>
        <v/>
      </c>
      <c r="AD59" s="41">
        <f>Y59/W59%</f>
        <v/>
      </c>
      <c r="AE59" s="98">
        <f>(X59+Y59)/(V59+W59)%</f>
        <v/>
      </c>
      <c r="AF59" s="43">
        <f>(D59+E59+N59+O59+X59+Y59)/(B59+L59+V59)*100</f>
        <v/>
      </c>
      <c r="AG59" s="43">
        <f>(D7+E7+N7+O7+X7+Y7+D33+E33+N33+O33+X33+Y33+D59+E59+N59+O59+X59+Y59)/(B7+C7+L7+M7+V7+W7+B33+C33+L33+M33+V33+W33+B59+C59+L59+M59+V59+W59)*100</f>
        <v/>
      </c>
    </row>
    <row r="60">
      <c r="A60" s="72" t="inlineStr">
        <is>
          <t>PMA24</t>
        </is>
      </c>
      <c r="B60" s="101" t="n">
        <v>1</v>
      </c>
      <c r="C60" s="108" t="n">
        <v>1</v>
      </c>
      <c r="D60" s="4" t="n">
        <v>1</v>
      </c>
      <c r="E60" s="6" t="n">
        <v>1</v>
      </c>
      <c r="F60" s="179" t="n"/>
      <c r="G60" s="164" t="n"/>
      <c r="H60" s="41">
        <f>SUM(D60:G60)</f>
        <v/>
      </c>
      <c r="I60" s="42">
        <f>D60/B60%</f>
        <v/>
      </c>
      <c r="J60" s="41" t="n">
        <v>0</v>
      </c>
      <c r="K60" s="98">
        <f>(D60+E60)/(B60+C60)%</f>
        <v/>
      </c>
      <c r="L60" s="101" t="n"/>
      <c r="M60" s="108" t="n"/>
      <c r="N60" s="4" t="n"/>
      <c r="O60" s="6" t="n"/>
      <c r="P60" s="179" t="n"/>
      <c r="Q60" s="164" t="n"/>
      <c r="R60" s="41">
        <f>SUM(N60:Q60)</f>
        <v/>
      </c>
      <c r="S60" s="42">
        <f>N60/L60%</f>
        <v/>
      </c>
      <c r="T60" s="41">
        <f>O60/M60%</f>
        <v/>
      </c>
      <c r="U60" s="98">
        <f>(N60+O60)/(L60+M60)%</f>
        <v/>
      </c>
      <c r="V60" s="101" t="n"/>
      <c r="W60" s="108" t="n"/>
      <c r="X60" s="4" t="n"/>
      <c r="Y60" s="6" t="n"/>
      <c r="Z60" s="179" t="n"/>
      <c r="AA60" s="164" t="n"/>
      <c r="AB60" s="41">
        <f>SUM(X60:AA60)</f>
        <v/>
      </c>
      <c r="AC60" s="42">
        <f>X60/V60%</f>
        <v/>
      </c>
      <c r="AD60" s="41">
        <f>Y60/W60%</f>
        <v/>
      </c>
      <c r="AE60" s="98">
        <f>(X60+Y60)/(V60+W60)%</f>
        <v/>
      </c>
      <c r="AF60" s="43">
        <f>(D60+E60+N60+O60+X60+Y60)/(B60+L60+V60)*100</f>
        <v/>
      </c>
      <c r="AG60" s="43">
        <f>(D8+E8+N8+O8+X8+Y8+D34+E34+N34+O34+X34+Y34+D60+E60+N60+O60+X60+Y60)/(B8+C8+L8+M8+V8+W8+B34+C34+L34+M34+V34+W34+B60+C60+L60+M60+V60+W60)*100</f>
        <v/>
      </c>
    </row>
    <row r="61">
      <c r="A61" s="72" t="inlineStr">
        <is>
          <t>PMA16</t>
        </is>
      </c>
      <c r="B61" s="101" t="n">
        <v>0</v>
      </c>
      <c r="C61" s="108" t="n">
        <v>0</v>
      </c>
      <c r="D61" s="4" t="n">
        <v>0</v>
      </c>
      <c r="E61" s="6" t="n">
        <v>0</v>
      </c>
      <c r="F61" s="179" t="n"/>
      <c r="G61" s="164" t="n"/>
      <c r="H61" s="41">
        <f>SUM(D61:G61)</f>
        <v/>
      </c>
      <c r="I61" s="52" t="n">
        <v>0</v>
      </c>
      <c r="J61" s="41" t="n">
        <v>0</v>
      </c>
      <c r="K61" s="98" t="n">
        <v>0</v>
      </c>
      <c r="L61" s="101" t="n"/>
      <c r="M61" s="108" t="n"/>
      <c r="N61" s="4" t="n"/>
      <c r="O61" s="6" t="n"/>
      <c r="P61" s="179" t="n"/>
      <c r="Q61" s="164" t="n"/>
      <c r="R61" s="41">
        <f>SUM(N61:Q61)</f>
        <v/>
      </c>
      <c r="S61" s="46">
        <f>N61/L61%</f>
        <v/>
      </c>
      <c r="T61" s="41">
        <f>O61/M61%</f>
        <v/>
      </c>
      <c r="U61" s="98">
        <f>(N61+O61)/(L61+M61)%</f>
        <v/>
      </c>
      <c r="V61" s="101" t="n"/>
      <c r="W61" s="108" t="n"/>
      <c r="X61" s="4" t="n"/>
      <c r="Y61" s="6" t="n"/>
      <c r="Z61" s="179" t="n"/>
      <c r="AA61" s="164" t="n"/>
      <c r="AB61" s="41">
        <f>SUM(X61:AA61)</f>
        <v/>
      </c>
      <c r="AC61" s="46">
        <f>X61/V61%</f>
        <v/>
      </c>
      <c r="AD61" s="41">
        <f>Y61/W61%</f>
        <v/>
      </c>
      <c r="AE61" s="98">
        <f>(X61+Y61)/(V61+W61)%</f>
        <v/>
      </c>
      <c r="AF61" s="43">
        <f>(D61+E61+N61+O61+X61+Y61)/(B61+L61+V61)*100</f>
        <v/>
      </c>
      <c r="AG61" s="43">
        <f>(D9+E9+N9+O9+X9+Y9+D35+E35+N35+O35+X35+Y35+D61+E61+N61+O61+X61+Y61)/(B9+C9+L9+M9+V9+W9+B35+C35+L35+M35+V35+W35+B61+C61+L61+M61+V61+W61)*100</f>
        <v/>
      </c>
    </row>
    <row r="62">
      <c r="A62" s="72" t="inlineStr">
        <is>
          <t>PMA19 ข้าวปั้น</t>
        </is>
      </c>
      <c r="B62" s="101" t="n">
        <v>0</v>
      </c>
      <c r="C62" s="108" t="n">
        <v>0</v>
      </c>
      <c r="D62" s="4" t="n">
        <v>0</v>
      </c>
      <c r="E62" s="6" t="n">
        <v>0</v>
      </c>
      <c r="F62" s="179" t="n"/>
      <c r="G62" s="164" t="n"/>
      <c r="H62" s="40">
        <f>SUM(D62:G62)</f>
        <v/>
      </c>
      <c r="I62" s="63" t="n">
        <v>0</v>
      </c>
      <c r="J62" s="42" t="n">
        <v>0</v>
      </c>
      <c r="K62" s="98" t="n">
        <v>0</v>
      </c>
      <c r="L62" s="101" t="n"/>
      <c r="M62" s="108" t="n"/>
      <c r="N62" s="4" t="n"/>
      <c r="O62" s="6" t="n"/>
      <c r="P62" s="179" t="n"/>
      <c r="Q62" s="164" t="n"/>
      <c r="R62" s="41">
        <f>SUM(N62:Q62)</f>
        <v/>
      </c>
      <c r="S62" s="42">
        <f>N62/L62%</f>
        <v/>
      </c>
      <c r="T62" s="41">
        <f>O62/M62%</f>
        <v/>
      </c>
      <c r="U62" s="98">
        <f>(N62+O62)/(L62+M62)%</f>
        <v/>
      </c>
      <c r="V62" s="101" t="n"/>
      <c r="W62" s="108" t="n"/>
      <c r="X62" s="4" t="n"/>
      <c r="Y62" s="6" t="n"/>
      <c r="Z62" s="179" t="n"/>
      <c r="AA62" s="164" t="n"/>
      <c r="AB62" s="41">
        <f>SUM(X62:AA62)</f>
        <v/>
      </c>
      <c r="AC62" s="42">
        <f>X62/V62%</f>
        <v/>
      </c>
      <c r="AD62" s="41">
        <f>Y62/W62%</f>
        <v/>
      </c>
      <c r="AE62" s="98">
        <f>(X62+Y62)/(V62+W62)%</f>
        <v/>
      </c>
      <c r="AF62" s="43">
        <f>(D62+E62+N62+O62+X62+Y62)/(B62+L62+V62)*100</f>
        <v/>
      </c>
      <c r="AG62" s="43">
        <f>(D10+E10+N10+O10+X10+Y10+D36+E36+N36+O36+X36+Y36+D62+E62+N62+O62+X62+Y62)/(B10+C10+L10+M10+V10+W10+B36+C36+L36+M36+V36+W36+B62+C62+L62+M62+V62+W62)*100</f>
        <v/>
      </c>
    </row>
    <row r="63">
      <c r="A63" s="72" t="inlineStr">
        <is>
          <t>PMA19 Chilled</t>
        </is>
      </c>
      <c r="B63" s="101" t="n">
        <v>3</v>
      </c>
      <c r="C63" s="108" t="n">
        <v>3</v>
      </c>
      <c r="D63" s="4" t="n">
        <v>3</v>
      </c>
      <c r="E63" s="6" t="n">
        <v>3</v>
      </c>
      <c r="F63" s="175" t="n"/>
      <c r="G63" s="166" t="n"/>
      <c r="H63" s="40">
        <f>SUM(D63:G63)</f>
        <v/>
      </c>
      <c r="I63" s="63">
        <f>D63/B63%</f>
        <v/>
      </c>
      <c r="J63" s="42">
        <f>E63/C63%</f>
        <v/>
      </c>
      <c r="K63" s="98">
        <f>(D63+E63)/(B63+C63)%</f>
        <v/>
      </c>
      <c r="L63" s="101" t="n"/>
      <c r="M63" s="108" t="n"/>
      <c r="N63" s="4" t="n"/>
      <c r="O63" s="6" t="n"/>
      <c r="P63" s="175" t="n"/>
      <c r="Q63" s="166" t="n"/>
      <c r="R63" s="41">
        <f>SUM(N63:Q63)</f>
        <v/>
      </c>
      <c r="S63" s="42">
        <f>N63/L63%</f>
        <v/>
      </c>
      <c r="T63" s="41">
        <f>O63/M63%</f>
        <v/>
      </c>
      <c r="U63" s="98">
        <f>(N63+O63)/(L63+M63)%</f>
        <v/>
      </c>
      <c r="V63" s="101" t="n"/>
      <c r="W63" s="108" t="n"/>
      <c r="X63" s="4" t="n"/>
      <c r="Y63" s="6" t="n"/>
      <c r="Z63" s="175" t="n"/>
      <c r="AA63" s="166" t="n"/>
      <c r="AB63" s="41">
        <f>SUM(X63:AA63)</f>
        <v/>
      </c>
      <c r="AC63" s="42">
        <f>X63/V63%</f>
        <v/>
      </c>
      <c r="AD63" s="41">
        <f>Y63/W63%</f>
        <v/>
      </c>
      <c r="AE63" s="98">
        <f>(X63+Y63)/(V63+W63)%</f>
        <v/>
      </c>
      <c r="AF63" s="43">
        <f>(D63+E63+N63+O63+X63+Y63)/(B63+L63+V63)*100</f>
        <v/>
      </c>
      <c r="AG63" s="43">
        <f>(D11+E11+N11+O11+X11+Y11+D37+E37+N37+O37+X37+Y37+D63+E63+N63+O63+X63+Y63)/(B11+C11+L11+M11+V11+W11+B37+C37+L37+M37+V37+W37+B63+C63+L63+M63+V63+W63)*100</f>
        <v/>
      </c>
    </row>
    <row r="64" customFormat="1" s="3">
      <c r="A64" s="93" t="inlineStr">
        <is>
          <t>PMA19 โครงการพิเศษ</t>
        </is>
      </c>
      <c r="B64" s="101" t="n">
        <v>0</v>
      </c>
      <c r="C64" s="108" t="n">
        <v>0</v>
      </c>
      <c r="D64" s="4" t="n">
        <v>0</v>
      </c>
      <c r="E64" s="6" t="n">
        <v>0</v>
      </c>
      <c r="F64" s="181" t="n"/>
      <c r="G64" s="167" t="n"/>
      <c r="H64" s="40">
        <f>SUM(D64:G64)</f>
        <v/>
      </c>
      <c r="I64" s="63" t="n">
        <v>0</v>
      </c>
      <c r="J64" s="42" t="n">
        <v>0</v>
      </c>
      <c r="K64" s="98" t="n">
        <v>0</v>
      </c>
      <c r="L64" s="127" t="n"/>
      <c r="M64" s="109" t="n"/>
      <c r="N64" s="35" t="n"/>
      <c r="O64" s="92" t="n"/>
      <c r="P64" s="181" t="n"/>
      <c r="Q64" s="167" t="n"/>
      <c r="R64" s="40">
        <f>SUM(N64:Q64)</f>
        <v/>
      </c>
      <c r="S64" s="41">
        <f>N64/L64%</f>
        <v/>
      </c>
      <c r="T64" s="41">
        <f>O64/M64%</f>
        <v/>
      </c>
      <c r="U64" s="98">
        <f>(N64+O64)/(L64+M64)%</f>
        <v/>
      </c>
      <c r="V64" s="127" t="n"/>
      <c r="W64" s="109" t="n"/>
      <c r="X64" s="35" t="n"/>
      <c r="Y64" s="92" t="n"/>
      <c r="Z64" s="181" t="n"/>
      <c r="AA64" s="167" t="n"/>
      <c r="AB64" s="41">
        <f>SUM(X64:AA64)</f>
        <v/>
      </c>
      <c r="AC64" s="41">
        <f>X64/V64%</f>
        <v/>
      </c>
      <c r="AD64" s="41">
        <f>Y64/W64%</f>
        <v/>
      </c>
      <c r="AE64" s="98">
        <f>(X64+Y64)/(V64+W64)%</f>
        <v/>
      </c>
      <c r="AF64" s="43">
        <f>(D64+E64+N64+O64+X64+Y64)/(B64+L64+V64)*100</f>
        <v/>
      </c>
      <c r="AG64" s="43">
        <f>(D12+E12+N12+O12+X12+Y12+D38+E38+N38+O38+X38+Y38+D64+E64+N64+O64+X64+Y64)/(B12+C12+L12+M12+V12+W12+B38+C38+L38+M38+V38+W38+B64+C64+L64+M64+V64+W64)*100</f>
        <v/>
      </c>
    </row>
    <row r="65">
      <c r="A65" s="72" t="inlineStr">
        <is>
          <t>PMA22 ข้าว Chilled</t>
        </is>
      </c>
      <c r="B65" s="101" t="n">
        <v>0</v>
      </c>
      <c r="C65" s="108" t="n">
        <v>0</v>
      </c>
      <c r="D65" s="4" t="n">
        <v>0</v>
      </c>
      <c r="E65" s="6" t="n">
        <v>0</v>
      </c>
      <c r="F65" s="179" t="n"/>
      <c r="G65" s="164" t="n"/>
      <c r="H65" s="40">
        <f>SUM(D65:G65)</f>
        <v/>
      </c>
      <c r="I65" s="63" t="n">
        <v>0</v>
      </c>
      <c r="J65" s="42" t="n">
        <v>0</v>
      </c>
      <c r="K65" s="98" t="n">
        <v>0</v>
      </c>
      <c r="L65" s="101" t="n"/>
      <c r="M65" s="108" t="n"/>
      <c r="N65" s="4" t="n"/>
      <c r="O65" s="6" t="n"/>
      <c r="P65" s="179" t="n"/>
      <c r="Q65" s="164" t="n"/>
      <c r="R65" s="40">
        <f>SUM(N65:Q65)</f>
        <v/>
      </c>
      <c r="S65" s="41">
        <f>N65/L65%</f>
        <v/>
      </c>
      <c r="T65" s="41">
        <f>O65/M65%</f>
        <v/>
      </c>
      <c r="U65" s="98">
        <f>(N65+O65)/(L65+M65)%</f>
        <v/>
      </c>
      <c r="V65" s="101" t="n"/>
      <c r="W65" s="108" t="n"/>
      <c r="X65" s="4" t="n"/>
      <c r="Y65" s="6" t="n"/>
      <c r="Z65" s="179" t="n"/>
      <c r="AA65" s="164" t="n"/>
      <c r="AB65" s="40">
        <f>SUM(X65:AA65)</f>
        <v/>
      </c>
      <c r="AC65" s="41">
        <f>X65/V65%</f>
        <v/>
      </c>
      <c r="AD65" s="41">
        <f>Y65/W65%</f>
        <v/>
      </c>
      <c r="AE65" s="98">
        <f>(X65+Y65)/(V65+W65)%</f>
        <v/>
      </c>
      <c r="AF65" s="43">
        <f>(D65+E65+N65+O65+X65+Y65)/(B65+L65+V65)*100</f>
        <v/>
      </c>
      <c r="AG65" s="43">
        <f>(D13+E13+N13+O13+X13+Y13+D39+E39+N39+O39+X39+Y39+D65+E65+N65+O65+X65+Y65)/(B13+C13+L13+M13+V13+W13+B39+C39+L39+M39+V39+W39+B65+C65+L65+M65+V65+W65)*100</f>
        <v/>
      </c>
    </row>
    <row r="66">
      <c r="A66" s="72" t="inlineStr">
        <is>
          <t>PMA22 โครงการพิิเศษ</t>
        </is>
      </c>
      <c r="B66" s="101" t="n">
        <v>0</v>
      </c>
      <c r="C66" s="108" t="n">
        <v>0</v>
      </c>
      <c r="D66" s="4" t="n">
        <v>0</v>
      </c>
      <c r="E66" s="6" t="n">
        <v>0</v>
      </c>
      <c r="F66" s="179" t="n"/>
      <c r="G66" s="164" t="n"/>
      <c r="H66" s="40">
        <f>SUM(D66:G66)</f>
        <v/>
      </c>
      <c r="I66" s="63" t="n">
        <v>0</v>
      </c>
      <c r="J66" s="42" t="n">
        <v>0</v>
      </c>
      <c r="K66" s="98" t="n">
        <v>0</v>
      </c>
      <c r="L66" s="101" t="n"/>
      <c r="M66" s="108" t="n"/>
      <c r="N66" s="4" t="n"/>
      <c r="O66" s="6" t="n"/>
      <c r="P66" s="179" t="n"/>
      <c r="Q66" s="164" t="n"/>
      <c r="R66" s="40">
        <f>SUM(N66:Q66)</f>
        <v/>
      </c>
      <c r="S66" s="41">
        <f>N66/L66%</f>
        <v/>
      </c>
      <c r="T66" s="41">
        <f>O66/M66%</f>
        <v/>
      </c>
      <c r="U66" s="98">
        <f>(N66+O66)/(L66+M66)%</f>
        <v/>
      </c>
      <c r="V66" s="101" t="n"/>
      <c r="W66" s="108" t="n"/>
      <c r="X66" s="4" t="n"/>
      <c r="Y66" s="6" t="n"/>
      <c r="Z66" s="179" t="n"/>
      <c r="AA66" s="164" t="n"/>
      <c r="AB66" s="40">
        <f>SUM(X66:AA66)</f>
        <v/>
      </c>
      <c r="AC66" s="41">
        <f>X66/V66%</f>
        <v/>
      </c>
      <c r="AD66" s="41">
        <f>Y66/W66%</f>
        <v/>
      </c>
      <c r="AE66" s="98">
        <f>(X66+Y66)/(V66+W66)%</f>
        <v/>
      </c>
      <c r="AF66" s="43">
        <f>(D66+E66+N66+O66+X66+Y66)/(B66+L66+V66)*100</f>
        <v/>
      </c>
      <c r="AG66" s="43">
        <f>(D14+E14+N14+O14+X14+Y14+D40+E40+N40+O40+X40+Y40+D66+E66+N66+O66+X66+Y66)/(B14+C14+L14+M14+V14+W14+B40+C40+L40+M40+V40+W40+B66+C66+L66+M66+V66+W66)*100</f>
        <v/>
      </c>
    </row>
    <row r="67">
      <c r="A67" s="88" t="inlineStr">
        <is>
          <t>PMA20 ข้าวFrozen</t>
        </is>
      </c>
      <c r="B67" s="101" t="n">
        <v>2</v>
      </c>
      <c r="C67" s="108" t="n">
        <v>1</v>
      </c>
      <c r="D67" s="4" t="n">
        <v>2</v>
      </c>
      <c r="E67" s="6" t="n">
        <v>1</v>
      </c>
      <c r="F67" s="179" t="n"/>
      <c r="G67" s="164" t="n">
        <v>8</v>
      </c>
      <c r="H67" s="40">
        <f>SUM(D67:G67)</f>
        <v/>
      </c>
      <c r="I67" s="63" t="n">
        <v>0</v>
      </c>
      <c r="J67" s="42" t="n">
        <v>0</v>
      </c>
      <c r="K67" s="98">
        <f>(D67+E67)/(B67+C67)%</f>
        <v/>
      </c>
      <c r="L67" s="101" t="n"/>
      <c r="M67" s="108" t="n"/>
      <c r="N67" s="4" t="n"/>
      <c r="O67" s="6" t="n"/>
      <c r="P67" s="179" t="n"/>
      <c r="Q67" s="164" t="n"/>
      <c r="R67" s="40">
        <f>SUM(N67:Q67)</f>
        <v/>
      </c>
      <c r="S67" s="41">
        <f>N67/L67%</f>
        <v/>
      </c>
      <c r="T67" s="41">
        <f>O67/M67%</f>
        <v/>
      </c>
      <c r="U67" s="98">
        <f>(N67+O67)/(L67+M67)%</f>
        <v/>
      </c>
      <c r="V67" s="101" t="n"/>
      <c r="W67" s="108" t="n"/>
      <c r="X67" s="4" t="n"/>
      <c r="Y67" s="6" t="n"/>
      <c r="Z67" s="179" t="n"/>
      <c r="AA67" s="164" t="n"/>
      <c r="AB67" s="40">
        <f>SUM(X67:AA67)</f>
        <v/>
      </c>
      <c r="AC67" s="41">
        <f>X67/V67%</f>
        <v/>
      </c>
      <c r="AD67" s="41">
        <f>Y67/W67%</f>
        <v/>
      </c>
      <c r="AE67" s="98">
        <f>(X67+Y67)/(V67+W67)%</f>
        <v/>
      </c>
      <c r="AF67" s="43">
        <f>(D67+E67+N67+O67+X67+Y67)/(B67+L67+V67)*100</f>
        <v/>
      </c>
      <c r="AG67" s="43">
        <f>(D15+E15+N15+O15+X15+Y15+D41+E41+N41+O41+X41+Y41+D67+E67+N67+O67+X67+Y67)/(B15+C15+L15+M15+V15+W15+B41+C41+L41+M41+V41+W41+B67+C67+L67+M67+V67+W67)*100</f>
        <v/>
      </c>
    </row>
    <row r="68">
      <c r="A68" s="72" t="inlineStr">
        <is>
          <t>PMA20 ทอด</t>
        </is>
      </c>
      <c r="B68" s="101" t="n">
        <v>0</v>
      </c>
      <c r="C68" s="108" t="n">
        <v>0</v>
      </c>
      <c r="D68" s="4" t="n">
        <v>0</v>
      </c>
      <c r="E68" s="6" t="n">
        <v>0</v>
      </c>
      <c r="F68" s="179" t="n"/>
      <c r="G68" s="164" t="n"/>
      <c r="H68" s="40">
        <f>SUM(D68:G68)</f>
        <v/>
      </c>
      <c r="I68" s="63" t="n">
        <v>0</v>
      </c>
      <c r="J68" s="42" t="n">
        <v>0</v>
      </c>
      <c r="K68" s="98" t="n">
        <v>0</v>
      </c>
      <c r="L68" s="101" t="n"/>
      <c r="M68" s="108" t="n"/>
      <c r="N68" s="4" t="n"/>
      <c r="O68" s="6" t="n"/>
      <c r="P68" s="179" t="n"/>
      <c r="Q68" s="164" t="n"/>
      <c r="R68" s="40">
        <f>SUM(N68:Q68)</f>
        <v/>
      </c>
      <c r="S68" s="41">
        <f>N68/L68%</f>
        <v/>
      </c>
      <c r="T68" s="41">
        <f>O68/M68%</f>
        <v/>
      </c>
      <c r="U68" s="98">
        <f>(N68+O68)/(L68+M68)%</f>
        <v/>
      </c>
      <c r="V68" s="101" t="n"/>
      <c r="W68" s="108" t="n"/>
      <c r="X68" s="4" t="n"/>
      <c r="Y68" s="6" t="n"/>
      <c r="Z68" s="179" t="n"/>
      <c r="AA68" s="164" t="n"/>
      <c r="AB68" s="40">
        <f>SUM(X68:AA68)</f>
        <v/>
      </c>
      <c r="AC68" s="41">
        <f>X68/V68%</f>
        <v/>
      </c>
      <c r="AD68" s="41">
        <f>Y68/W68%</f>
        <v/>
      </c>
      <c r="AE68" s="98">
        <f>(X68+Y68)/(V68+W68)%</f>
        <v/>
      </c>
      <c r="AF68" s="43">
        <f>(D68+E68+N68+O68+X68+Y68)/(B68+L68+V68)*100</f>
        <v/>
      </c>
      <c r="AG68" s="43">
        <f>(D16+E16+N16+O16+X16+Y16+D42+E42+N42+O42+X42+Y42+D68+E68+N68+O68+X68+Y68)/(B16+C16+L16+M16+V16+W16+B42+C42+L42+M42+V42+W42+B68+C68+L68+M68+V68+W68)*100</f>
        <v/>
      </c>
    </row>
    <row r="69">
      <c r="A69" s="72" t="inlineStr">
        <is>
          <t>PMA06 ทอด</t>
        </is>
      </c>
      <c r="B69" s="101" t="n">
        <v>0</v>
      </c>
      <c r="C69" s="108" t="n">
        <v>0</v>
      </c>
      <c r="D69" s="4" t="n">
        <v>0</v>
      </c>
      <c r="E69" s="6" t="n">
        <v>0</v>
      </c>
      <c r="F69" s="179" t="n"/>
      <c r="G69" s="164" t="n"/>
      <c r="H69" s="40">
        <f>SUM(D69:G69)</f>
        <v/>
      </c>
      <c r="I69" s="63" t="n">
        <v>0</v>
      </c>
      <c r="J69" s="42" t="n">
        <v>0</v>
      </c>
      <c r="K69" s="98" t="n">
        <v>0</v>
      </c>
      <c r="L69" s="101" t="n"/>
      <c r="M69" s="108" t="n"/>
      <c r="N69" s="4" t="n"/>
      <c r="O69" s="6" t="n"/>
      <c r="P69" s="179" t="n"/>
      <c r="Q69" s="164" t="n"/>
      <c r="R69" s="40">
        <f>SUM(N69:Q69)</f>
        <v/>
      </c>
      <c r="S69" s="41">
        <f>N69/L69%</f>
        <v/>
      </c>
      <c r="T69" s="41">
        <f>O69/M69%</f>
        <v/>
      </c>
      <c r="U69" s="98">
        <f>(N69+O69)/(L69+M69)%</f>
        <v/>
      </c>
      <c r="V69" s="101" t="n"/>
      <c r="W69" s="108" t="n"/>
      <c r="X69" s="4" t="n"/>
      <c r="Y69" s="6" t="n"/>
      <c r="Z69" s="179" t="n"/>
      <c r="AA69" s="164" t="n"/>
      <c r="AB69" s="40">
        <f>SUM(X69:AA69)</f>
        <v/>
      </c>
      <c r="AC69" s="41">
        <f>X69/V69%</f>
        <v/>
      </c>
      <c r="AD69" s="41">
        <f>Y69/W69%</f>
        <v/>
      </c>
      <c r="AE69" s="98">
        <f>(X69+Y69)/(V69+W69)%</f>
        <v/>
      </c>
      <c r="AF69" s="43">
        <f>(D69+E69+N69+O69+X69+Y69)/(B69+L69+V69)*100</f>
        <v/>
      </c>
      <c r="AG69" s="43">
        <f>(D17+E17+N17+O17+X17+Y17+D43+E43+N43+O43+X43+Y43+D69+E69+N69+O69+X69+Y69)/(B17+C17+L17+M17+V17+W17+B43+C43+L43+M43+V43+W43+B69+C69+L69+M69+V69+W69)*100</f>
        <v/>
      </c>
    </row>
    <row r="70">
      <c r="A70" s="72" t="inlineStr">
        <is>
          <t>PMA06 โครงการพิเศษ</t>
        </is>
      </c>
      <c r="B70" s="101" t="n">
        <v>0</v>
      </c>
      <c r="C70" s="108" t="n">
        <v>0</v>
      </c>
      <c r="D70" s="4" t="n">
        <v>0</v>
      </c>
      <c r="E70" s="6" t="n">
        <v>0</v>
      </c>
      <c r="F70" s="179" t="n"/>
      <c r="G70" s="195" t="n"/>
      <c r="H70" s="40">
        <f>SUM(D70:G70)</f>
        <v/>
      </c>
      <c r="I70" s="63" t="n">
        <v>0</v>
      </c>
      <c r="J70" s="42" t="n">
        <v>0</v>
      </c>
      <c r="K70" s="98" t="n">
        <v>0</v>
      </c>
      <c r="L70" s="152" t="n"/>
      <c r="M70" s="110" t="n"/>
      <c r="N70" s="4" t="n"/>
      <c r="O70" s="6" t="n"/>
      <c r="P70" s="179" t="n"/>
      <c r="Q70" s="195" t="n"/>
      <c r="R70" s="40">
        <f>SUM(N70:Q70)</f>
        <v/>
      </c>
      <c r="S70" s="41">
        <f>N70/L70%</f>
        <v/>
      </c>
      <c r="T70" s="41">
        <f>O70/M70%</f>
        <v/>
      </c>
      <c r="U70" s="98">
        <f>(N70+O70)/(L70+M70)%</f>
        <v/>
      </c>
      <c r="V70" s="152" t="n"/>
      <c r="W70" s="110" t="n"/>
      <c r="X70" s="4" t="n"/>
      <c r="Y70" s="6" t="n"/>
      <c r="Z70" s="179" t="n"/>
      <c r="AA70" s="195" t="n"/>
      <c r="AB70" s="40">
        <f>SUM(X70:AA70)</f>
        <v/>
      </c>
      <c r="AC70" s="41">
        <f>X70/V70%</f>
        <v/>
      </c>
      <c r="AD70" s="41">
        <f>Y70/W70%</f>
        <v/>
      </c>
      <c r="AE70" s="98">
        <f>(X70+Y70)/(V70+W70)%</f>
        <v/>
      </c>
      <c r="AF70" s="43">
        <f>(D70+E70+N70+O70+X70+Y70)/(B70+L70+V70)*100</f>
        <v/>
      </c>
      <c r="AG70" s="43">
        <f>(D18+E18+N18+O18+X18+Y18+D44+E44+N44+O44+X44+Y44+D70+E70+N70+O70+X70+Y70)/(B18+C18+L18+M18+V18+W18+B44+C44+L44+M44+V44+W44+B70+C70+L70+M70+V70+W70)*100</f>
        <v/>
      </c>
    </row>
    <row r="71">
      <c r="A71" s="74" t="inlineStr">
        <is>
          <t>PMA76 โครงการพิเศษ</t>
        </is>
      </c>
      <c r="B71" s="101" t="n">
        <v>0</v>
      </c>
      <c r="C71" s="108" t="n">
        <v>0</v>
      </c>
      <c r="D71" s="4" t="n">
        <v>0</v>
      </c>
      <c r="E71" s="6" t="n">
        <v>0</v>
      </c>
      <c r="F71" s="190" t="n"/>
      <c r="G71" s="198" t="n"/>
      <c r="H71" s="5">
        <f>SUM(D71:G71)</f>
        <v/>
      </c>
      <c r="I71" s="63" t="n">
        <v>0</v>
      </c>
      <c r="J71" s="42" t="n">
        <v>0</v>
      </c>
      <c r="K71" s="98" t="n">
        <v>0</v>
      </c>
      <c r="L71" s="153" t="n"/>
      <c r="M71" s="111" t="n"/>
      <c r="N71" s="41" t="n"/>
      <c r="O71" s="40" t="n"/>
      <c r="P71" s="190" t="n"/>
      <c r="Q71" s="198" t="n"/>
      <c r="R71" s="5">
        <f>SUM(N71:Q71)</f>
        <v/>
      </c>
      <c r="S71" s="41">
        <f>N71/L71%</f>
        <v/>
      </c>
      <c r="T71" s="41">
        <f>O71/M71%</f>
        <v/>
      </c>
      <c r="U71" s="98">
        <f>(N71+O71)/(L71+M71)%</f>
        <v/>
      </c>
      <c r="V71" s="153" t="n"/>
      <c r="W71" s="111" t="n"/>
      <c r="X71" s="41" t="n"/>
      <c r="Y71" s="40" t="n"/>
      <c r="Z71" s="190" t="n"/>
      <c r="AA71" s="198" t="n"/>
      <c r="AB71" s="5">
        <f>SUM(X71:AA71)</f>
        <v/>
      </c>
      <c r="AC71" s="41">
        <f>X71/V71%</f>
        <v/>
      </c>
      <c r="AD71" s="41">
        <f>Y71/W71%</f>
        <v/>
      </c>
      <c r="AE71" s="98">
        <f>(X71+Y71)/(V71+W71)%</f>
        <v/>
      </c>
      <c r="AF71" s="43">
        <f>(D71+E71+N71+O71+X71+Y71)/(B71+L71+V71)*100</f>
        <v/>
      </c>
      <c r="AG71" s="43">
        <f>(D19+E19+N19+O19+X19+Y19+D45+E45+N45+O45+X45+Y45+D71+E71+N71+O71+X71+Y71)/(B19+C19+L19+M19+V19+W19+B45+C45+L45+M45+V45+W45+B71+C71+L71+M71+V71+W71)*100</f>
        <v/>
      </c>
    </row>
    <row r="72">
      <c r="A72" s="74" t="inlineStr">
        <is>
          <t>non 7-11 โครงการพิเศษ</t>
        </is>
      </c>
      <c r="B72" s="101" t="n">
        <v>0</v>
      </c>
      <c r="C72" s="108" t="n">
        <v>0</v>
      </c>
      <c r="D72" s="4" t="n">
        <v>0</v>
      </c>
      <c r="E72" s="6" t="n">
        <v>0</v>
      </c>
      <c r="F72" s="208" t="n"/>
      <c r="G72" s="198" t="n"/>
      <c r="H72" s="209">
        <f>SUM(D72:G72)</f>
        <v/>
      </c>
      <c r="I72" s="42" t="n">
        <v>0</v>
      </c>
      <c r="J72" s="41" t="n">
        <v>0</v>
      </c>
      <c r="K72" s="98" t="n">
        <v>0</v>
      </c>
      <c r="L72" s="153" t="n"/>
      <c r="M72" s="111" t="n"/>
      <c r="N72" s="41" t="n"/>
      <c r="O72" s="40" t="n"/>
      <c r="P72" s="208" t="n"/>
      <c r="Q72" s="198" t="n"/>
      <c r="R72" s="209">
        <f>SUM(N72:Q72)</f>
        <v/>
      </c>
      <c r="S72" s="41">
        <f>N72/L72%</f>
        <v/>
      </c>
      <c r="T72" s="41">
        <f>O72/M72%</f>
        <v/>
      </c>
      <c r="U72" s="98">
        <f>(N72+O72)/(L72+M72)%</f>
        <v/>
      </c>
      <c r="V72" s="153" t="n"/>
      <c r="W72" s="111" t="n"/>
      <c r="X72" s="41" t="n"/>
      <c r="Y72" s="40" t="n"/>
      <c r="Z72" s="191" t="n"/>
      <c r="AA72" s="199" t="n"/>
      <c r="AB72" s="63">
        <f>SUM(X72:AA72)</f>
        <v/>
      </c>
      <c r="AC72" s="41">
        <f>X72/V72%</f>
        <v/>
      </c>
      <c r="AD72" s="41">
        <f>Y72/W72%</f>
        <v/>
      </c>
      <c r="AE72" s="98">
        <f>(X72+Y72)/(V72+W72)%</f>
        <v/>
      </c>
      <c r="AF72" s="43">
        <f>(D72+E72+N72+O72+X72+Y72)/(B72+L72+V72)*100</f>
        <v/>
      </c>
      <c r="AG72" s="43">
        <f>(D20+E20+N20+O20+X20+Y20+D46+E46+N46+O46+X46+Y46+D72+E72+N72+O72+X72+Y72)/(B20+C20+L20+M20+V20+W20+B46+C46+L46+M46+V46+W46+B72+C72+L72+M72+V72+W72)*100</f>
        <v/>
      </c>
    </row>
    <row r="73">
      <c r="A73" s="87" t="inlineStr">
        <is>
          <t>ติ่มซำ non-7 ในประเทศ</t>
        </is>
      </c>
      <c r="B73" s="119" t="n">
        <v>0</v>
      </c>
      <c r="C73" s="112" t="n">
        <v>0</v>
      </c>
      <c r="D73" s="41" t="n">
        <v>0</v>
      </c>
      <c r="E73" s="40" t="n">
        <v>0</v>
      </c>
      <c r="F73" s="191" t="n"/>
      <c r="G73" s="206" t="n"/>
      <c r="H73" s="63">
        <f>SUM(D73:G73)</f>
        <v/>
      </c>
      <c r="I73" s="42" t="n">
        <v>0</v>
      </c>
      <c r="J73" s="41" t="n">
        <v>0</v>
      </c>
      <c r="K73" s="98" t="n">
        <v>0</v>
      </c>
      <c r="L73" s="119" t="n"/>
      <c r="M73" s="112" t="n"/>
      <c r="N73" s="41" t="n"/>
      <c r="O73" s="40" t="n"/>
      <c r="P73" s="191" t="n"/>
      <c r="Q73" s="206" t="n"/>
      <c r="R73" s="63">
        <f>SUM(N73:Q73)</f>
        <v/>
      </c>
      <c r="S73" s="42">
        <f>N73/L73%</f>
        <v/>
      </c>
      <c r="T73" s="41">
        <f>O73/M73%</f>
        <v/>
      </c>
      <c r="U73" s="98">
        <f>(N73+O73)/(L73+M73)%</f>
        <v/>
      </c>
      <c r="V73" s="119" t="n"/>
      <c r="W73" s="112" t="n"/>
      <c r="X73" s="41" t="n"/>
      <c r="Y73" s="40" t="n"/>
      <c r="Z73" s="190" t="n"/>
      <c r="AA73" s="210" t="n"/>
      <c r="AB73" s="51">
        <f>SUM(X73:AA73)</f>
        <v/>
      </c>
      <c r="AC73" s="41">
        <f>X73/V73%</f>
        <v/>
      </c>
      <c r="AD73" s="41">
        <f>Y73/W73%</f>
        <v/>
      </c>
      <c r="AE73" s="98">
        <f>(X73+Y73)/(V73+W73)%</f>
        <v/>
      </c>
      <c r="AF73" s="43">
        <f>(D73+E73+N73+O73+X73+Y73)/(B73+L73+V73)*100</f>
        <v/>
      </c>
      <c r="AG73" s="43">
        <f>(D21+E21+N21+O21+X21+Y21+D47+E47+N47+O47+X47+Y47+D73+E73+N73+O73+X73+Y73)/(B21+C21+L21+M21+V21+W21+B47+C47+L47+M47+V47+W47+B73+C73+L73+M73+V73+W73)*100</f>
        <v/>
      </c>
    </row>
    <row r="74">
      <c r="A74" s="74" t="inlineStr">
        <is>
          <t>ส่งออก โครงการพิเศษ</t>
        </is>
      </c>
      <c r="B74" s="101" t="n">
        <v>0</v>
      </c>
      <c r="C74" s="108" t="n">
        <v>0</v>
      </c>
      <c r="D74" s="4" t="n">
        <v>0</v>
      </c>
      <c r="E74" s="6" t="n">
        <v>0</v>
      </c>
      <c r="F74" s="191" t="n"/>
      <c r="G74" s="199" t="n"/>
      <c r="H74" s="63">
        <f>SUM(D74:G74)</f>
        <v/>
      </c>
      <c r="I74" s="42" t="n">
        <v>0</v>
      </c>
      <c r="J74" s="41" t="n">
        <v>0</v>
      </c>
      <c r="K74" s="98" t="n">
        <v>0</v>
      </c>
      <c r="L74" s="119" t="n"/>
      <c r="M74" s="112" t="n"/>
      <c r="N74" s="41" t="n"/>
      <c r="O74" s="40" t="n"/>
      <c r="P74" s="191" t="n"/>
      <c r="Q74" s="199" t="n"/>
      <c r="R74" s="63">
        <f>SUM(N74:Q74)</f>
        <v/>
      </c>
      <c r="S74" s="42">
        <f>N74/L74%</f>
        <v/>
      </c>
      <c r="T74" s="41">
        <f>O74/M74%</f>
        <v/>
      </c>
      <c r="U74" s="98">
        <f>(N74+O74)/(L74+M74)%</f>
        <v/>
      </c>
      <c r="V74" s="119" t="n"/>
      <c r="W74" s="112" t="n"/>
      <c r="X74" s="41" t="n"/>
      <c r="Y74" s="40" t="n"/>
      <c r="Z74" s="191" t="n"/>
      <c r="AA74" s="199" t="n"/>
      <c r="AB74" s="63">
        <f>SUM(X74:AA74)</f>
        <v/>
      </c>
      <c r="AC74" s="42">
        <f>X74/V74%</f>
        <v/>
      </c>
      <c r="AD74" s="41">
        <f>Y74/W74%</f>
        <v/>
      </c>
      <c r="AE74" s="98">
        <f>(X74+Y74)/(V74+W74)%</f>
        <v/>
      </c>
      <c r="AF74" s="43">
        <f>(D74+E74+N74+O74+X74+Y74)/(B74+L74+V74)*100</f>
        <v/>
      </c>
      <c r="AG74" s="43">
        <f>(D22+E22+N22+O22+X22+Y22+D48+E48+N48+O48+X48+Y48+D74+E74+N74+O74+X74+Y74)/(B22+C22+L22+M22+V22+W22+B48+C48+L48+M48+V48+W48+B74+C74+L74+M74+V74+W74)*100</f>
        <v/>
      </c>
    </row>
    <row r="75">
      <c r="A75" s="207" t="inlineStr">
        <is>
          <t>ส่่งออก ทีมข้าวFrozen</t>
        </is>
      </c>
      <c r="B75" s="119" t="n">
        <v>0</v>
      </c>
      <c r="C75" s="108" t="n">
        <v>0</v>
      </c>
      <c r="D75" s="215" t="n">
        <v>0</v>
      </c>
      <c r="E75" s="216" t="n">
        <v>0</v>
      </c>
      <c r="F75" s="217" t="n"/>
      <c r="G75" s="218" t="n">
        <v>3</v>
      </c>
      <c r="H75" s="219">
        <f>SUM(D75:G75)</f>
        <v/>
      </c>
      <c r="I75" s="63" t="n">
        <v>0</v>
      </c>
      <c r="J75" s="42" t="n">
        <v>0</v>
      </c>
      <c r="K75" s="98" t="n">
        <v>0</v>
      </c>
      <c r="L75" s="119" t="n"/>
      <c r="M75" s="112" t="n"/>
      <c r="N75" s="41" t="n"/>
      <c r="O75" s="40" t="n"/>
      <c r="P75" s="191" t="n"/>
      <c r="Q75" s="199" t="n"/>
      <c r="R75" s="63">
        <f>SUM(N75:Q75)</f>
        <v/>
      </c>
      <c r="S75" s="42">
        <f>N75/L75%</f>
        <v/>
      </c>
      <c r="T75" s="41">
        <f>O75/M75%</f>
        <v/>
      </c>
      <c r="U75" s="98">
        <f>(N75+O75)/(L75+M75)%</f>
        <v/>
      </c>
      <c r="V75" s="119" t="n"/>
      <c r="W75" s="112" t="n"/>
      <c r="X75" s="41" t="n"/>
      <c r="Y75" s="40" t="n"/>
      <c r="Z75" s="191" t="n"/>
      <c r="AA75" s="199" t="n"/>
      <c r="AB75" s="63">
        <f>SUM(X75:AA75)</f>
        <v/>
      </c>
      <c r="AC75" s="42">
        <f>X75/V75%</f>
        <v/>
      </c>
      <c r="AD75" s="41">
        <f>Y75/W75%</f>
        <v/>
      </c>
      <c r="AE75" s="98">
        <f>(X75+Y75)/(V75+W75)%</f>
        <v/>
      </c>
      <c r="AF75" s="43">
        <f>(D75+E75+N75+O75+X75+Y75)/(B75+L75+V75)*100</f>
        <v/>
      </c>
      <c r="AG75" s="43">
        <f>(D23+E23+N23+O23+X23+Y23+D49+E49+N49+O49+X49+Y49+D75+E75+N75+O75+X75+Y75)/(B23+C23+L23+M23+V23+W23+B49+C49+L49+M49+V49+W49+B75+C75+L75+M75+V75+W75)*100</f>
        <v/>
      </c>
    </row>
    <row r="76">
      <c r="A76" s="62" t="inlineStr">
        <is>
          <t>ติ่มซำส่งออก</t>
        </is>
      </c>
      <c r="B76" s="220" t="n">
        <v>2</v>
      </c>
      <c r="C76" s="112" t="n">
        <v>0</v>
      </c>
      <c r="D76" s="41" t="n">
        <v>1</v>
      </c>
      <c r="E76" s="40" t="n">
        <v>0</v>
      </c>
      <c r="F76" s="223" t="n">
        <v>1</v>
      </c>
      <c r="G76" s="206" t="n">
        <v>3</v>
      </c>
      <c r="H76" s="63">
        <f>SUM(D76:G76)</f>
        <v/>
      </c>
      <c r="I76" s="42">
        <f>D76/B76%</f>
        <v/>
      </c>
      <c r="J76" s="41" t="n">
        <v>0</v>
      </c>
      <c r="K76" s="98">
        <f>(D76+E76)/(B76+C76)%</f>
        <v/>
      </c>
      <c r="L76" s="119" t="n"/>
      <c r="M76" s="112" t="n"/>
      <c r="N76" s="41" t="n"/>
      <c r="O76" s="40" t="n"/>
      <c r="P76" s="184" t="n"/>
      <c r="Q76" s="169" t="n"/>
      <c r="R76" s="40">
        <f>SUM(N76:Q76)</f>
        <v/>
      </c>
      <c r="S76" s="41">
        <f>N76/L76%</f>
        <v/>
      </c>
      <c r="T76" s="41">
        <f>O76/M76%</f>
        <v/>
      </c>
      <c r="U76" s="98">
        <f>(N76+O76)/(L76+M76)%</f>
        <v/>
      </c>
      <c r="V76" s="119" t="n"/>
      <c r="W76" s="112" t="n"/>
      <c r="X76" s="41" t="n"/>
      <c r="Y76" s="40" t="n"/>
      <c r="Z76" s="191" t="n"/>
      <c r="AA76" s="206" t="n"/>
      <c r="AB76" s="63">
        <f>SUM(X76:AA76)</f>
        <v/>
      </c>
      <c r="AC76" s="42">
        <f>X76/V76%</f>
        <v/>
      </c>
      <c r="AD76" s="41">
        <f>Y76/W76%</f>
        <v/>
      </c>
      <c r="AE76" s="98">
        <f>(X76+Y76)/(V76+W76)%</f>
        <v/>
      </c>
      <c r="AF76" s="43">
        <f>(D76+E76+N76+O76+X76+Y76)/(B76+L76+V76)*100</f>
        <v/>
      </c>
      <c r="AG76" s="43">
        <f>(D24+E24+N24+O24+X24+Y24+D50+E50+N50+O50+X50+Y50+D76+E76+N76+O76+X76+Y76)/(B24+C24+L24+M24+V24+W24+B50+C50+L50+M50+V50+W50+B76+C76+L76+M76+V76+W76)*100</f>
        <v/>
      </c>
    </row>
    <row r="77">
      <c r="A77" s="48" t="inlineStr">
        <is>
          <t>Snack ส่งออก</t>
        </is>
      </c>
      <c r="B77" s="221" t="n">
        <v>2</v>
      </c>
      <c r="C77" s="113" t="n">
        <v>0</v>
      </c>
      <c r="D77" s="50" t="n">
        <v>0</v>
      </c>
      <c r="E77" s="8" t="n">
        <v>0</v>
      </c>
      <c r="F77" s="222" t="n">
        <v>2</v>
      </c>
      <c r="G77" s="210" t="n"/>
      <c r="H77" s="51">
        <f>SUM(D77:G77)</f>
        <v/>
      </c>
      <c r="I77" s="63" t="n">
        <v>0</v>
      </c>
      <c r="J77" s="42" t="n">
        <v>0</v>
      </c>
      <c r="K77" s="98" t="n">
        <v>0</v>
      </c>
      <c r="L77" s="49" t="n"/>
      <c r="M77" s="113" t="n"/>
      <c r="N77" s="50" t="n"/>
      <c r="O77" s="8" t="n"/>
      <c r="P77" s="189" t="n"/>
      <c r="Q77" s="195" t="n"/>
      <c r="R77" s="51">
        <f>SUM(N77:Q77)</f>
        <v/>
      </c>
      <c r="S77" s="125">
        <f>N77/L77%</f>
        <v/>
      </c>
      <c r="T77" s="103">
        <f>O77/M77%</f>
        <v/>
      </c>
      <c r="U77" s="98">
        <f>(N77+O77)/(L77+M77)%</f>
        <v/>
      </c>
      <c r="V77" s="49" t="n"/>
      <c r="W77" s="113" t="n"/>
      <c r="X77" s="50" t="n"/>
      <c r="Y77" s="8" t="n"/>
      <c r="Z77" s="190" t="n"/>
      <c r="AA77" s="210" t="n"/>
      <c r="AB77" s="51">
        <f>SUM(X77:AA77)</f>
        <v/>
      </c>
      <c r="AC77" s="125">
        <f>X77/V77%</f>
        <v/>
      </c>
      <c r="AD77" s="103">
        <f>Y77/W77%</f>
        <v/>
      </c>
      <c r="AE77" s="98">
        <f>(X77+Y77)/(V77+W77)%</f>
        <v/>
      </c>
      <c r="AF77" s="43">
        <f>(D77+E77+N77+O77+X77+Y77)/(B77+L77+V77)*100</f>
        <v/>
      </c>
      <c r="AG77" s="95">
        <f>(D25+E25+N25+O25+X25+Y25+D51+E51+N51+O51+X51+Y51+D77+E77+N77+O77+X77+Y77)/(B25+C25+L25+M25+V25+W25+B51+C51+L51+M51+V51+W51+B77+C77+L77+M77+V77+W77)*100</f>
        <v/>
      </c>
    </row>
    <row r="78" customFormat="1" s="11">
      <c r="A78" s="83" t="inlineStr">
        <is>
          <t>Total</t>
        </is>
      </c>
      <c r="B78" s="84">
        <f>SUM(B57:B77)</f>
        <v/>
      </c>
      <c r="C78" s="84">
        <f>SUM(C57:C77)</f>
        <v/>
      </c>
      <c r="D78" s="85">
        <f>SUM(D57:D77)</f>
        <v/>
      </c>
      <c r="E78" s="85">
        <f>SUM(E57:E77)</f>
        <v/>
      </c>
      <c r="F78" s="186">
        <f>SUM(F57:F77)</f>
        <v/>
      </c>
      <c r="G78" s="171">
        <f>SUM(G57:G77)</f>
        <v/>
      </c>
      <c r="H78" s="85">
        <f>SUM(H57:H77)</f>
        <v/>
      </c>
      <c r="I78" s="85">
        <f>D78/B78%</f>
        <v/>
      </c>
      <c r="J78" s="85">
        <f>E78/C78%</f>
        <v/>
      </c>
      <c r="K78" s="85">
        <f>(D78+E78)/(B78+C78)%</f>
        <v/>
      </c>
      <c r="L78" s="84">
        <f>SUM(L57:L77)</f>
        <v/>
      </c>
      <c r="M78" s="84">
        <f>SUM(M57:M77)</f>
        <v/>
      </c>
      <c r="N78" s="85">
        <f>SUM(N57:N77)</f>
        <v/>
      </c>
      <c r="O78" s="85">
        <f>SUM(O57:O77)</f>
        <v/>
      </c>
      <c r="P78" s="186">
        <f>SUM(P57:P77)</f>
        <v/>
      </c>
      <c r="Q78" s="171">
        <f>SUM(Q57:Q77)</f>
        <v/>
      </c>
      <c r="R78" s="85">
        <f>SUM(R57:R77)</f>
        <v/>
      </c>
      <c r="S78" s="85">
        <f>N78/L78%</f>
        <v/>
      </c>
      <c r="T78" s="85">
        <f>O78/M78%</f>
        <v/>
      </c>
      <c r="U78" s="85">
        <f>(N78+O78)/(L78+M78)%</f>
        <v/>
      </c>
      <c r="V78" s="84">
        <f>SUM(V57:V77)</f>
        <v/>
      </c>
      <c r="W78" s="84">
        <f>SUM(W57:W77)</f>
        <v/>
      </c>
      <c r="X78" s="85">
        <f>SUM(X57:X77)</f>
        <v/>
      </c>
      <c r="Y78" s="85">
        <f>SUM(Y57:Y77)</f>
        <v/>
      </c>
      <c r="Z78" s="186">
        <f>SUM(Z57:Z77)</f>
        <v/>
      </c>
      <c r="AA78" s="171">
        <f>SUM(AA57:AA77)</f>
        <v/>
      </c>
      <c r="AB78" s="85">
        <f>SUM(AB57:AB77)</f>
        <v/>
      </c>
      <c r="AC78" s="85">
        <f>X78/V78%</f>
        <v/>
      </c>
      <c r="AD78" s="85">
        <f>Y78/W78%</f>
        <v/>
      </c>
      <c r="AE78" s="85">
        <f>(X78+Y78)/(V78+W78)%</f>
        <v/>
      </c>
      <c r="AF78" s="37">
        <f>((D78+E78+N78+
O78+X78+Y78))/((B78+C78+L78+M78+V78+W78))*100</f>
        <v/>
      </c>
      <c r="AG78" s="37">
        <f>(D26+E26+N26+O26+X26+Y26+D52+E52+N52+O52+X52+Y52+D78+E78+N78+O78+X78+Y78)/(B26+C26+L26+M26+V26+W26+B52+C52+L52+M52+V52+W52+B78+C78+L78+M78+V78+W78)*100</f>
        <v/>
      </c>
    </row>
    <row r="79" ht="17.45" customHeight="1" thickBot="1">
      <c r="A79" s="82" t="inlineStr">
        <is>
          <t>จำนวนสินค้าใหม่ RTE Q4/2023</t>
        </is>
      </c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</row>
    <row r="80">
      <c r="A80" s="857" t="inlineStr">
        <is>
          <t>กลุ่มสินค้า</t>
        </is>
      </c>
      <c r="B80" s="858" t="n">
        <v>45200</v>
      </c>
      <c r="C80" s="813" t="n"/>
      <c r="D80" s="813" t="n"/>
      <c r="E80" s="813" t="n"/>
      <c r="F80" s="813" t="n"/>
      <c r="G80" s="813" t="n"/>
      <c r="H80" s="813" t="n"/>
      <c r="I80" s="813" t="n"/>
      <c r="J80" s="813" t="n"/>
      <c r="K80" s="813" t="n"/>
      <c r="L80" s="814" t="n">
        <v>45231</v>
      </c>
      <c r="M80" s="813" t="n"/>
      <c r="N80" s="813" t="n"/>
      <c r="O80" s="813" t="n"/>
      <c r="P80" s="813" t="n"/>
      <c r="Q80" s="813" t="n"/>
      <c r="R80" s="813" t="n"/>
      <c r="S80" s="813" t="n"/>
      <c r="T80" s="813" t="n"/>
      <c r="U80" s="815" t="n"/>
      <c r="V80" s="850" t="n">
        <v>45261</v>
      </c>
      <c r="W80" s="817" t="n"/>
      <c r="X80" s="817" t="n"/>
      <c r="Y80" s="817" t="n"/>
      <c r="Z80" s="817" t="n"/>
      <c r="AA80" s="817" t="n"/>
      <c r="AB80" s="817" t="n"/>
      <c r="AC80" s="817" t="n"/>
      <c r="AD80" s="817" t="n"/>
      <c r="AE80" s="818" t="n"/>
      <c r="AF80" s="819" t="inlineStr">
        <is>
          <t>Q4/2023</t>
        </is>
      </c>
      <c r="AG80" s="852" t="inlineStr">
        <is>
          <t>Q4 สะสม
2023</t>
        </is>
      </c>
    </row>
    <row r="81">
      <c r="A81" s="859" t="n"/>
      <c r="B81" s="839" t="inlineStr">
        <is>
          <t>แผนขาย</t>
        </is>
      </c>
      <c r="C81" s="342" t="n"/>
      <c r="D81" s="840" t="inlineStr">
        <is>
          <t>ขายได้</t>
        </is>
      </c>
      <c r="E81" s="841" t="n"/>
      <c r="F81" s="842" t="inlineStr">
        <is>
          <t>หยุดพัฒนา</t>
        </is>
      </c>
      <c r="G81" s="841" t="n"/>
      <c r="H81" s="732" t="inlineStr">
        <is>
          <t>พัฒนาทั้งหมด</t>
        </is>
      </c>
      <c r="I81" s="824" t="inlineStr">
        <is>
          <t>%success</t>
        </is>
      </c>
      <c r="J81" s="825" t="n"/>
      <c r="K81" s="826" t="n"/>
      <c r="L81" s="839" t="inlineStr">
        <is>
          <t>แผนขาย</t>
        </is>
      </c>
      <c r="M81" s="342" t="n"/>
      <c r="N81" s="840" t="inlineStr">
        <is>
          <t>ขายได้</t>
        </is>
      </c>
      <c r="O81" s="841" t="n"/>
      <c r="P81" s="842" t="inlineStr">
        <is>
          <t>หยุดพัฒนา</t>
        </is>
      </c>
      <c r="Q81" s="841" t="n"/>
      <c r="R81" s="712" t="inlineStr">
        <is>
          <t>พัฒนาทั้งหมด</t>
        </is>
      </c>
      <c r="S81" s="824" t="inlineStr">
        <is>
          <t>%success</t>
        </is>
      </c>
      <c r="T81" s="825" t="n"/>
      <c r="U81" s="826" t="n"/>
      <c r="V81" s="839" t="inlineStr">
        <is>
          <t>แผนขาย</t>
        </is>
      </c>
      <c r="W81" s="342" t="n"/>
      <c r="X81" s="821" t="inlineStr">
        <is>
          <t>ขายได้</t>
        </is>
      </c>
      <c r="Y81" s="822" t="n"/>
      <c r="Z81" s="823" t="inlineStr">
        <is>
          <t>หยุดพัฒนา</t>
        </is>
      </c>
      <c r="AA81" s="822" t="n"/>
      <c r="AB81" s="717" t="inlineStr">
        <is>
          <t>พัฒนาทั้งหมด</t>
        </is>
      </c>
      <c r="AC81" s="824" t="inlineStr">
        <is>
          <t>%success</t>
        </is>
      </c>
      <c r="AD81" s="825" t="n"/>
      <c r="AE81" s="826" t="n"/>
      <c r="AF81" s="828" t="n"/>
      <c r="AG81" s="828" t="n"/>
    </row>
    <row r="82" ht="15" customHeight="1" thickBot="1">
      <c r="A82" s="860" t="n"/>
      <c r="B82" s="149" t="inlineStr">
        <is>
          <t>New</t>
        </is>
      </c>
      <c r="C82" s="148" t="inlineStr">
        <is>
          <t>Imp</t>
        </is>
      </c>
      <c r="D82" s="9" t="inlineStr">
        <is>
          <t>New</t>
        </is>
      </c>
      <c r="E82" s="9" t="inlineStr">
        <is>
          <t>Imp</t>
        </is>
      </c>
      <c r="F82" s="172" t="inlineStr">
        <is>
          <t>ตามแผน</t>
        </is>
      </c>
      <c r="G82" s="162" t="inlineStr">
        <is>
          <t>นอกแผน</t>
        </is>
      </c>
      <c r="H82" s="830" t="n"/>
      <c r="I82" s="116" t="inlineStr">
        <is>
          <t>New</t>
        </is>
      </c>
      <c r="J82" s="116" t="inlineStr">
        <is>
          <t>Imp</t>
        </is>
      </c>
      <c r="K82" s="115" t="inlineStr">
        <is>
          <t>รวม</t>
        </is>
      </c>
      <c r="L82" s="149" t="inlineStr">
        <is>
          <t>New</t>
        </is>
      </c>
      <c r="M82" s="148" t="inlineStr">
        <is>
          <t>Imp</t>
        </is>
      </c>
      <c r="N82" s="9" t="inlineStr">
        <is>
          <t>New</t>
        </is>
      </c>
      <c r="O82" s="9" t="inlineStr">
        <is>
          <t>Imp</t>
        </is>
      </c>
      <c r="P82" s="172" t="inlineStr">
        <is>
          <t>ตามแผน</t>
        </is>
      </c>
      <c r="Q82" s="162" t="inlineStr">
        <is>
          <t>นอกแผน</t>
        </is>
      </c>
      <c r="R82" s="801" t="n"/>
      <c r="S82" s="116" t="inlineStr">
        <is>
          <t>New</t>
        </is>
      </c>
      <c r="T82" s="116" t="inlineStr">
        <is>
          <t>Imp</t>
        </is>
      </c>
      <c r="U82" s="115" t="inlineStr">
        <is>
          <t>รวม</t>
        </is>
      </c>
      <c r="V82" s="149" t="inlineStr">
        <is>
          <t>New</t>
        </is>
      </c>
      <c r="W82" s="148" t="inlineStr">
        <is>
          <t>Imp</t>
        </is>
      </c>
      <c r="X82" s="38" t="inlineStr">
        <is>
          <t>New</t>
        </is>
      </c>
      <c r="Y82" s="38" t="inlineStr">
        <is>
          <t>Imp</t>
        </is>
      </c>
      <c r="Z82" s="192" t="inlineStr">
        <is>
          <t>ตามแผน</t>
        </is>
      </c>
      <c r="AA82" s="196" t="inlineStr">
        <is>
          <t>นอกแผน</t>
        </is>
      </c>
      <c r="AB82" s="801" t="n"/>
      <c r="AC82" s="116" t="inlineStr">
        <is>
          <t>New</t>
        </is>
      </c>
      <c r="AD82" s="116" t="inlineStr">
        <is>
          <t>Imp</t>
        </is>
      </c>
      <c r="AE82" s="115" t="inlineStr">
        <is>
          <t>รวม</t>
        </is>
      </c>
      <c r="AF82" s="831" t="n"/>
      <c r="AG82" s="831" t="n"/>
    </row>
    <row r="83">
      <c r="A83" s="44" t="inlineStr">
        <is>
          <t>PMA02</t>
        </is>
      </c>
      <c r="B83" s="118" t="n"/>
      <c r="C83" s="108" t="n"/>
      <c r="D83" s="4" t="n"/>
      <c r="E83" s="6" t="n"/>
      <c r="F83" s="179" t="n"/>
      <c r="G83" s="164" t="n"/>
      <c r="H83" s="99">
        <f>SUM(D83:G83)</f>
        <v/>
      </c>
      <c r="I83" s="121">
        <f>D83/B83%</f>
        <v/>
      </c>
      <c r="J83" s="99">
        <f>E83/C83%</f>
        <v/>
      </c>
      <c r="K83" s="98">
        <f>(D83+E83)/(B83+C83)%</f>
        <v/>
      </c>
      <c r="L83" s="118" t="n"/>
      <c r="M83" s="108" t="n"/>
      <c r="N83" s="4" t="n"/>
      <c r="O83" s="6" t="n"/>
      <c r="P83" s="179" t="n"/>
      <c r="Q83" s="164" t="n"/>
      <c r="R83" s="99">
        <f>SUM(N83:Q83)</f>
        <v/>
      </c>
      <c r="S83" s="121">
        <f>N83/L83%</f>
        <v/>
      </c>
      <c r="T83" s="99">
        <f>O83/M83%</f>
        <v/>
      </c>
      <c r="U83" s="98">
        <f>(N83+O83)/(L83+M83)%</f>
        <v/>
      </c>
      <c r="V83" s="118" t="n"/>
      <c r="W83" s="108" t="n"/>
      <c r="X83" s="4" t="n"/>
      <c r="Y83" s="6" t="n"/>
      <c r="Z83" s="179" t="n"/>
      <c r="AA83" s="164" t="n"/>
      <c r="AB83" s="146">
        <f>SUM(X83:AA83)</f>
        <v/>
      </c>
      <c r="AC83" s="121">
        <f>X83/V83%</f>
        <v/>
      </c>
      <c r="AD83" s="99">
        <f>Y83/W83%</f>
        <v/>
      </c>
      <c r="AE83" s="98">
        <f>(X83+Y83)/(V83+W83)%</f>
        <v/>
      </c>
      <c r="AF83" s="43">
        <f>(D83+E83+N83+O83+X83+Y83)/(B83+L83+V83)*100</f>
        <v/>
      </c>
      <c r="AG83" s="94">
        <f>(D5+E5+N5+O5+X5+Y5+D31+E31+N31+O31+X31+Y31+D57+E57+N57+O57+X57+Y57+D83+E83+N83+O83+X83+Y83)/(B5+C5+L5+M5+V5+W5+B31+C31+L31+M31+V31+W31+B57+C57+L57+M57+V57+W57+B83+C83+L83+M83+V83+W83)*100</f>
        <v/>
      </c>
    </row>
    <row r="84">
      <c r="A84" s="44" t="inlineStr">
        <is>
          <t>PMA08</t>
        </is>
      </c>
      <c r="B84" s="101" t="n"/>
      <c r="C84" s="113" t="n"/>
      <c r="D84" s="50" t="n"/>
      <c r="E84" s="8" t="n"/>
      <c r="F84" s="189" t="n"/>
      <c r="G84" s="195" t="n"/>
      <c r="H84" s="41">
        <f>SUM(D84:G84)</f>
        <v/>
      </c>
      <c r="I84" s="42">
        <f>D84/B84%</f>
        <v/>
      </c>
      <c r="J84" s="41">
        <f>E84/C84%</f>
        <v/>
      </c>
      <c r="K84" s="98">
        <f>(D84+E84)/(B84+C84)%</f>
        <v/>
      </c>
      <c r="L84" s="101" t="n"/>
      <c r="M84" s="108" t="n"/>
      <c r="N84" s="4" t="n"/>
      <c r="O84" s="6" t="n"/>
      <c r="P84" s="179" t="n"/>
      <c r="Q84" s="164" t="n"/>
      <c r="R84" s="41">
        <f>SUM(N84:Q84)</f>
        <v/>
      </c>
      <c r="S84" s="42">
        <f>N84/L84%</f>
        <v/>
      </c>
      <c r="T84" s="41">
        <f>O84/M84%</f>
        <v/>
      </c>
      <c r="U84" s="98">
        <f>(N84+O84)/(L84+M84)%</f>
        <v/>
      </c>
      <c r="V84" s="101" t="n"/>
      <c r="W84" s="108" t="n"/>
      <c r="X84" s="4" t="n"/>
      <c r="Y84" s="6" t="n"/>
      <c r="Z84" s="179" t="n"/>
      <c r="AA84" s="164" t="n"/>
      <c r="AB84" s="41">
        <f>SUM(X84:AA84)</f>
        <v/>
      </c>
      <c r="AC84" s="42">
        <f>X84/V84%</f>
        <v/>
      </c>
      <c r="AD84" s="41">
        <f>Y84/W84%</f>
        <v/>
      </c>
      <c r="AE84" s="98">
        <f>(X84+Y84)/(V84+W84)%</f>
        <v/>
      </c>
      <c r="AF84" s="43">
        <f>(D84+E84+N84+O84+X84+Y84)/(B84+L84+V84)*100</f>
        <v/>
      </c>
      <c r="AG84" s="43">
        <f>(D6+E6+N6+O6+X6+Y6+D32+E32+N32+O32+X32+Y32+D58+E58+N58+O58+X58+Y58+D84+E84+N84+O84+X84+Y84)/(B6+C6+L6+M6+V6+W6+B32+C32+L32+M32+V32+W32+B58+C58+L58+M58+V58+W58+B84+C84+L84+M84+V84+W84)*100</f>
        <v/>
      </c>
    </row>
    <row r="85">
      <c r="A85" s="69" t="inlineStr">
        <is>
          <t>PMA22 ข้าวเหนียว</t>
        </is>
      </c>
      <c r="B85" s="45" t="n"/>
      <c r="C85" s="205" t="n"/>
      <c r="D85" s="63" t="n"/>
      <c r="E85" s="63" t="n"/>
      <c r="F85" s="191" t="n"/>
      <c r="G85" s="206" t="n"/>
      <c r="H85" s="42">
        <f>SUM(D85:G85)</f>
        <v/>
      </c>
      <c r="I85" s="42">
        <f>D85/B85%</f>
        <v/>
      </c>
      <c r="J85" s="41">
        <f>E85/C85%</f>
        <v/>
      </c>
      <c r="K85" s="98">
        <f>(D85+E85)/(B85+C85)%</f>
        <v/>
      </c>
      <c r="L85" s="101" t="n"/>
      <c r="M85" s="108" t="n"/>
      <c r="N85" s="4" t="n"/>
      <c r="O85" s="6" t="n"/>
      <c r="P85" s="179" t="n"/>
      <c r="Q85" s="164" t="n"/>
      <c r="R85" s="41">
        <f>SUM(N85:Q85)</f>
        <v/>
      </c>
      <c r="S85" s="42">
        <f>N85/L85%</f>
        <v/>
      </c>
      <c r="T85" s="41">
        <f>O85/M85%</f>
        <v/>
      </c>
      <c r="U85" s="98">
        <f>(N85+O85)/(L85+M85)%</f>
        <v/>
      </c>
      <c r="V85" s="101" t="n"/>
      <c r="W85" s="108" t="n"/>
      <c r="X85" s="4" t="n"/>
      <c r="Y85" s="6" t="n"/>
      <c r="Z85" s="179" t="n"/>
      <c r="AA85" s="164" t="n"/>
      <c r="AB85" s="41">
        <f>SUM(X85:AA85)</f>
        <v/>
      </c>
      <c r="AC85" s="42">
        <f>X85/V85%</f>
        <v/>
      </c>
      <c r="AD85" s="41">
        <f>Y85/W85%</f>
        <v/>
      </c>
      <c r="AE85" s="98">
        <f>(X85+Y85)/(V85+W85)%</f>
        <v/>
      </c>
      <c r="AF85" s="43">
        <f>(D85+E85+N85+O85+X85+Y85)/(B85+L85+V85)*100</f>
        <v/>
      </c>
      <c r="AG85" s="43">
        <f>(D7+E7+N7+O7+X7+Y7+D33+E33+N33+O33+X33+Y33+D59+E59+N59+O59+X59+Y59+D85+E85+N85+O85+X85+Y85)/(B7+C7+L7+M7+V7+W7+B33+C33+L33+M33+V33+W33+B59+C59+L59+M59+V59+W59+B85+C85+L85+M85+V85+W85)*100</f>
        <v/>
      </c>
    </row>
    <row r="86">
      <c r="A86" s="69" t="inlineStr">
        <is>
          <t>PMA24</t>
        </is>
      </c>
      <c r="B86" s="101" t="n"/>
      <c r="C86" s="112" t="n"/>
      <c r="D86" s="41" t="n"/>
      <c r="E86" s="40" t="n"/>
      <c r="F86" s="184" t="n"/>
      <c r="G86" s="169" t="n"/>
      <c r="H86" s="41">
        <f>SUM(D86:G86)</f>
        <v/>
      </c>
      <c r="I86" s="42">
        <f>D86/B86%</f>
        <v/>
      </c>
      <c r="J86" s="41">
        <f>E86/C86%</f>
        <v/>
      </c>
      <c r="K86" s="98">
        <f>(D86+E86)/(B86+C86)%</f>
        <v/>
      </c>
      <c r="L86" s="101" t="n"/>
      <c r="M86" s="108" t="n"/>
      <c r="N86" s="4" t="n"/>
      <c r="O86" s="6" t="n"/>
      <c r="P86" s="179" t="n"/>
      <c r="Q86" s="164" t="n"/>
      <c r="R86" s="41">
        <f>SUM(N86:Q86)</f>
        <v/>
      </c>
      <c r="S86" s="42">
        <f>N86/L86%</f>
        <v/>
      </c>
      <c r="T86" s="41">
        <f>O86/M86%</f>
        <v/>
      </c>
      <c r="U86" s="98">
        <f>(N86+O86)/(L86+M86)%</f>
        <v/>
      </c>
      <c r="V86" s="101" t="n"/>
      <c r="W86" s="108" t="n"/>
      <c r="X86" s="4" t="n"/>
      <c r="Y86" s="6" t="n"/>
      <c r="Z86" s="179" t="n"/>
      <c r="AA86" s="164" t="n"/>
      <c r="AB86" s="41">
        <f>SUM(X86:AA86)</f>
        <v/>
      </c>
      <c r="AC86" s="42">
        <f>X86/V86%</f>
        <v/>
      </c>
      <c r="AD86" s="41">
        <f>Y86/W86%</f>
        <v/>
      </c>
      <c r="AE86" s="98">
        <f>(X86+Y86)/(V86+W86)%</f>
        <v/>
      </c>
      <c r="AF86" s="43">
        <f>(D86+E86+N86+O86+X86+Y86)/(B86+L86+V86)*100</f>
        <v/>
      </c>
      <c r="AG86" s="43">
        <f>(D8+E8+N8+O8+X8+Y8+D34+E34+N34+O34+X34+Y34+D60+E60+N60+O60+X60+Y60+D86+E86+N86+O86+X86+Y86)/(B8+C8+L8+M8+V8+W8+B34+C34+L34+M34+V34+W34+B60+C60+L60+M60+V60+W60+B86+C86+L86+M86+V86+W86)*100</f>
        <v/>
      </c>
    </row>
    <row r="87">
      <c r="A87" s="69" t="inlineStr">
        <is>
          <t>PMA16</t>
        </is>
      </c>
      <c r="B87" s="101" t="n"/>
      <c r="C87" s="108" t="n"/>
      <c r="D87" s="4" t="n"/>
      <c r="E87" s="6" t="n"/>
      <c r="F87" s="179" t="n"/>
      <c r="G87" s="164" t="n"/>
      <c r="H87" s="41">
        <f>SUM(D87:G87)</f>
        <v/>
      </c>
      <c r="I87" s="46">
        <f>D87/B87%</f>
        <v/>
      </c>
      <c r="J87" s="41">
        <f>E87/C87%</f>
        <v/>
      </c>
      <c r="K87" s="98">
        <f>(D87+E87)/(B87+C87)%</f>
        <v/>
      </c>
      <c r="L87" s="101" t="n"/>
      <c r="M87" s="108" t="n"/>
      <c r="N87" s="4" t="n"/>
      <c r="O87" s="6" t="n"/>
      <c r="P87" s="179" t="n"/>
      <c r="Q87" s="164" t="n"/>
      <c r="R87" s="41">
        <f>SUM(N87:Q87)</f>
        <v/>
      </c>
      <c r="S87" s="46">
        <f>N87/L87%</f>
        <v/>
      </c>
      <c r="T87" s="41">
        <f>O87/M87%</f>
        <v/>
      </c>
      <c r="U87" s="98">
        <f>(N87+O87)/(L87+M87)%</f>
        <v/>
      </c>
      <c r="V87" s="101" t="n"/>
      <c r="W87" s="108" t="n"/>
      <c r="X87" s="4" t="n"/>
      <c r="Y87" s="6" t="n"/>
      <c r="Z87" s="179" t="n"/>
      <c r="AA87" s="164" t="n"/>
      <c r="AB87" s="41">
        <f>SUM(X87:AA87)</f>
        <v/>
      </c>
      <c r="AC87" s="46">
        <f>X87/V87%</f>
        <v/>
      </c>
      <c r="AD87" s="41">
        <f>Y87/W87%</f>
        <v/>
      </c>
      <c r="AE87" s="98">
        <f>(X87+Y87)/(V87+W87)%</f>
        <v/>
      </c>
      <c r="AF87" s="43">
        <f>(D87+E87+N87+O87+X87+Y87)/(B87+L87+V87)*100</f>
        <v/>
      </c>
      <c r="AG87" s="43">
        <f>(D9+E9+N9+O9+X9+Y9+D35+E35+N35+O35+X35+Y35+D61+E61+N61+O61+X61+Y61+D87+E87+N87+O87+X87+Y87)/(B9+C9+L9+M9+V9+W9+B35+C35+L35+M35+V35+W35+B61+C61+L61+M61+V61+W61+B87+C87+L87+M87+V87+W87)*100</f>
        <v/>
      </c>
    </row>
    <row r="88">
      <c r="A88" s="69" t="inlineStr">
        <is>
          <t>PMA19 ข้าวปั้น</t>
        </is>
      </c>
      <c r="B88" s="101" t="n"/>
      <c r="C88" s="108" t="n"/>
      <c r="D88" s="4" t="n"/>
      <c r="E88" s="6" t="n"/>
      <c r="F88" s="179" t="n"/>
      <c r="G88" s="164" t="n"/>
      <c r="H88" s="41">
        <f>SUM(D88:G88)</f>
        <v/>
      </c>
      <c r="I88" s="42">
        <f>D88/B88%</f>
        <v/>
      </c>
      <c r="J88" s="41">
        <f>E88/C88%</f>
        <v/>
      </c>
      <c r="K88" s="98">
        <f>(D88+E88)/(B88+C88)%</f>
        <v/>
      </c>
      <c r="L88" s="101" t="n"/>
      <c r="M88" s="108" t="n"/>
      <c r="N88" s="4" t="n"/>
      <c r="O88" s="6" t="n"/>
      <c r="P88" s="179" t="n"/>
      <c r="Q88" s="164" t="n"/>
      <c r="R88" s="41">
        <f>SUM(N88:Q88)</f>
        <v/>
      </c>
      <c r="S88" s="42">
        <f>N88/L88%</f>
        <v/>
      </c>
      <c r="T88" s="41">
        <f>O88/M88%</f>
        <v/>
      </c>
      <c r="U88" s="98">
        <f>(N88+O88)/(L88+M88)%</f>
        <v/>
      </c>
      <c r="V88" s="101" t="n"/>
      <c r="W88" s="108" t="n"/>
      <c r="X88" s="4" t="n"/>
      <c r="Y88" s="6" t="n"/>
      <c r="Z88" s="179" t="n"/>
      <c r="AA88" s="164" t="n"/>
      <c r="AB88" s="41">
        <f>SUM(X88:AA88)</f>
        <v/>
      </c>
      <c r="AC88" s="42">
        <f>X88/V88%</f>
        <v/>
      </c>
      <c r="AD88" s="41">
        <f>Y88/W88%</f>
        <v/>
      </c>
      <c r="AE88" s="98">
        <f>(X88+Y88)/(V88+W88)%</f>
        <v/>
      </c>
      <c r="AF88" s="43">
        <f>(D88+E88+N88+O88+X88+Y88)/(B88+L88+V88)*100</f>
        <v/>
      </c>
      <c r="AG88" s="43">
        <f>(D10+E10+N10+O10+X10+Y10+D36+E36+N36+O36+X36+Y36+D62+E62+N62+O62+X62+Y62+D88+E88+N88+O88+X88+Y88)/(B10+C10+L10+M10+V10+W10+B36+C36+L36+M36+V36+W36+B62+C62+L62+M62+V62+W62+B88+C88+L88+M88+V88+W88)*100</f>
        <v/>
      </c>
    </row>
    <row r="89">
      <c r="A89" s="69" t="inlineStr">
        <is>
          <t>PMA19 Chilled</t>
        </is>
      </c>
      <c r="B89" s="101" t="n"/>
      <c r="C89" s="108" t="n"/>
      <c r="D89" s="4" t="n"/>
      <c r="E89" s="6" t="n"/>
      <c r="F89" s="175" t="n"/>
      <c r="G89" s="166" t="n"/>
      <c r="H89" s="41">
        <f>SUM(D89:G89)</f>
        <v/>
      </c>
      <c r="I89" s="42">
        <f>D89/B89%</f>
        <v/>
      </c>
      <c r="J89" s="41">
        <f>E89/C89%</f>
        <v/>
      </c>
      <c r="K89" s="98">
        <f>(D89+E89)/(B89+C89)%</f>
        <v/>
      </c>
      <c r="L89" s="101" t="n"/>
      <c r="M89" s="108" t="n"/>
      <c r="N89" s="4" t="n"/>
      <c r="O89" s="6" t="n"/>
      <c r="P89" s="175" t="n"/>
      <c r="Q89" s="166" t="n"/>
      <c r="R89" s="41">
        <f>SUM(N89:Q89)</f>
        <v/>
      </c>
      <c r="S89" s="42">
        <f>N89/L89%</f>
        <v/>
      </c>
      <c r="T89" s="41">
        <f>O89/M89%</f>
        <v/>
      </c>
      <c r="U89" s="98">
        <f>(N89+O89)/(L89+M89)%</f>
        <v/>
      </c>
      <c r="V89" s="101" t="n"/>
      <c r="W89" s="108" t="n"/>
      <c r="X89" s="4" t="n"/>
      <c r="Y89" s="6" t="n"/>
      <c r="Z89" s="175" t="n"/>
      <c r="AA89" s="166" t="n"/>
      <c r="AB89" s="41">
        <f>SUM(X89:AA89)</f>
        <v/>
      </c>
      <c r="AC89" s="42">
        <f>X89/V89%</f>
        <v/>
      </c>
      <c r="AD89" s="41">
        <f>Y89/W89%</f>
        <v/>
      </c>
      <c r="AE89" s="98">
        <f>(X89+Y89)/(V89+W89)%</f>
        <v/>
      </c>
      <c r="AF89" s="43">
        <f>(D89+E89+N89+O89+X89+Y89)/(B89+L89+V89)*100</f>
        <v/>
      </c>
      <c r="AG89" s="43">
        <f>(D11+E11+N11+O11+X11+Y11+D37+E37+N37+O37+X37+Y37+D63+E63+N63+O63+X63+Y63+D89+E89+N89+O89+X89+Y89)/(B11+C11+L11+M11+V11+W11+B37+C37+L37+M37+V37+W37+B63+C63+L63+M63+V63+W63+B89+C89+L89+M89+V89+W89)*100</f>
        <v/>
      </c>
    </row>
    <row r="90" customFormat="1" s="3">
      <c r="A90" s="93" t="inlineStr">
        <is>
          <t>PMA19 โครงการพิเศษ</t>
        </is>
      </c>
      <c r="B90" s="127" t="n"/>
      <c r="C90" s="109" t="n"/>
      <c r="D90" s="35" t="n"/>
      <c r="E90" s="92" t="n"/>
      <c r="F90" s="181" t="n"/>
      <c r="G90" s="167" t="n"/>
      <c r="H90" s="40">
        <f>SUM(D90:G90)</f>
        <v/>
      </c>
      <c r="I90" s="41">
        <f>D90/B90%</f>
        <v/>
      </c>
      <c r="J90" s="41">
        <f>E90/C90%</f>
        <v/>
      </c>
      <c r="K90" s="98">
        <f>(D90+E90)/(B90+C90)%</f>
        <v/>
      </c>
      <c r="L90" s="127" t="n"/>
      <c r="M90" s="109" t="n"/>
      <c r="N90" s="35" t="n"/>
      <c r="O90" s="92" t="n"/>
      <c r="P90" s="181" t="n"/>
      <c r="Q90" s="167" t="n"/>
      <c r="R90" s="40">
        <f>SUM(N90:Q90)</f>
        <v/>
      </c>
      <c r="S90" s="41">
        <f>N90/L90%</f>
        <v/>
      </c>
      <c r="T90" s="41">
        <f>O90/M90%</f>
        <v/>
      </c>
      <c r="U90" s="98">
        <f>(N90+O90)/(L90+M90)%</f>
        <v/>
      </c>
      <c r="V90" s="127" t="n"/>
      <c r="W90" s="109" t="n"/>
      <c r="X90" s="35" t="n"/>
      <c r="Y90" s="92" t="n"/>
      <c r="Z90" s="181" t="n"/>
      <c r="AA90" s="167" t="n"/>
      <c r="AB90" s="41">
        <f>SUM(X90:AA90)</f>
        <v/>
      </c>
      <c r="AC90" s="41">
        <f>X90/V90%</f>
        <v/>
      </c>
      <c r="AD90" s="41">
        <f>Y90/W90%</f>
        <v/>
      </c>
      <c r="AE90" s="98">
        <f>(X90+Y90)/(V90+W90)%</f>
        <v/>
      </c>
      <c r="AF90" s="43">
        <f>(D90+E90+N90+O90+X90+Y90)/(B90+L90+V90)*100</f>
        <v/>
      </c>
      <c r="AG90" s="43">
        <f>(D12+E12+N12+O12+X12+Y12+D38+E38+N38+O38+X38+Y38+D64+E64+N64+O64+X64+Y64+D90+E90+N90+O90+X90+Y90)/(B12+C12+L12+M12+V12+W12+B38+C38+L38+M38+V38+W38+B64+C64+L64+M64+V64+W64+B90+C90+L90+M90+V90+W90)*100</f>
        <v/>
      </c>
    </row>
    <row r="91">
      <c r="A91" s="69" t="inlineStr">
        <is>
          <t>PMA22 ข้าว Chilled</t>
        </is>
      </c>
      <c r="B91" s="101" t="n"/>
      <c r="C91" s="108" t="n"/>
      <c r="D91" s="4" t="n"/>
      <c r="E91" s="6" t="n"/>
      <c r="F91" s="179" t="n"/>
      <c r="G91" s="164" t="n"/>
      <c r="H91" s="40">
        <f>SUM(D91:G91)</f>
        <v/>
      </c>
      <c r="I91" s="41">
        <f>D91/B91%</f>
        <v/>
      </c>
      <c r="J91" s="41">
        <f>E91/C91%</f>
        <v/>
      </c>
      <c r="K91" s="98">
        <f>(D91+E91)/(B91+C91)%</f>
        <v/>
      </c>
      <c r="L91" s="101" t="n"/>
      <c r="M91" s="108" t="n"/>
      <c r="N91" s="4" t="n"/>
      <c r="O91" s="6" t="n"/>
      <c r="P91" s="179" t="n"/>
      <c r="Q91" s="164" t="n"/>
      <c r="R91" s="40">
        <f>SUM(N91:Q91)</f>
        <v/>
      </c>
      <c r="S91" s="41">
        <f>N91/L91%</f>
        <v/>
      </c>
      <c r="T91" s="41">
        <f>O91/M91%</f>
        <v/>
      </c>
      <c r="U91" s="98">
        <f>(N91+O91)/(L91+M91)%</f>
        <v/>
      </c>
      <c r="V91" s="101" t="n"/>
      <c r="W91" s="108" t="n"/>
      <c r="X91" s="4" t="n"/>
      <c r="Y91" s="6" t="n"/>
      <c r="Z91" s="179" t="n"/>
      <c r="AA91" s="164" t="n"/>
      <c r="AB91" s="40">
        <f>SUM(X91:AA91)</f>
        <v/>
      </c>
      <c r="AC91" s="41">
        <f>X91/V91%</f>
        <v/>
      </c>
      <c r="AD91" s="41">
        <f>Y91/W91%</f>
        <v/>
      </c>
      <c r="AE91" s="98">
        <f>(X91+Y91)/(V91+W91)%</f>
        <v/>
      </c>
      <c r="AF91" s="43">
        <f>(D91+E91+N91+O91+X91+Y91)/(B91+L91+V91)*100</f>
        <v/>
      </c>
      <c r="AG91" s="43">
        <f>(D13+E13+N13+O13+X13+Y13+D39+E39+N39+O39+X39+Y39+D65+E65+N65+O65+X65+Y65+D91+E91+N91+O91+X91+Y91)/(B13+C13+L13+M13+V13+W13+B39+C39+L39+M39+V39+W39+B65+C65+L65+M65+V65+W65+B91+C91+L91+M91+V91+W91)*100</f>
        <v/>
      </c>
    </row>
    <row r="92">
      <c r="A92" s="72" t="inlineStr">
        <is>
          <t>PMA22 โครงการพิิเศษ</t>
        </is>
      </c>
      <c r="B92" s="101" t="n"/>
      <c r="C92" s="108" t="n"/>
      <c r="D92" s="4" t="n"/>
      <c r="E92" s="6" t="n"/>
      <c r="F92" s="179" t="n"/>
      <c r="G92" s="164" t="n"/>
      <c r="H92" s="40">
        <f>SUM(D92:G92)</f>
        <v/>
      </c>
      <c r="I92" s="41">
        <f>D92/B92%</f>
        <v/>
      </c>
      <c r="J92" s="41">
        <f>E92/C92%</f>
        <v/>
      </c>
      <c r="K92" s="98">
        <f>(D92+E92)/(B92+C92)%</f>
        <v/>
      </c>
      <c r="L92" s="101" t="n"/>
      <c r="M92" s="108" t="n"/>
      <c r="N92" s="4" t="n"/>
      <c r="O92" s="6" t="n"/>
      <c r="P92" s="179" t="n"/>
      <c r="Q92" s="164" t="n"/>
      <c r="R92" s="40">
        <f>SUM(N92:Q92)</f>
        <v/>
      </c>
      <c r="S92" s="41">
        <f>N92/L92%</f>
        <v/>
      </c>
      <c r="T92" s="41">
        <f>O92/M92%</f>
        <v/>
      </c>
      <c r="U92" s="98">
        <f>(N92+O92)/(L92+M92)%</f>
        <v/>
      </c>
      <c r="V92" s="101" t="n"/>
      <c r="W92" s="108" t="n"/>
      <c r="X92" s="4" t="n"/>
      <c r="Y92" s="6" t="n"/>
      <c r="Z92" s="179" t="n"/>
      <c r="AA92" s="164" t="n"/>
      <c r="AB92" s="40">
        <f>SUM(X92:AA92)</f>
        <v/>
      </c>
      <c r="AC92" s="41">
        <f>X92/V92%</f>
        <v/>
      </c>
      <c r="AD92" s="41">
        <f>Y92/W92%</f>
        <v/>
      </c>
      <c r="AE92" s="98">
        <f>(X92+Y92)/(V92+W92)%</f>
        <v/>
      </c>
      <c r="AF92" s="43">
        <f>(D92+E92+N92+O92+X92+Y92)/(B92+L92+V92)*100</f>
        <v/>
      </c>
      <c r="AG92" s="43">
        <f>(D14+E14+N14+O14+X14+Y14+D40+E40+N40+O40+X40+Y40+D66+E66+N66+O66+X66+Y66+D92+E92+N92+O92+X92+Y92)/(B14+C14+L14+M14+V14+W14+B40+C40+L40+M40+V40+W40+B66+C66+L66+M66+V66+W66+B92+C92+L92+M92+V92+W92)*100</f>
        <v/>
      </c>
    </row>
    <row r="93">
      <c r="A93" s="70" t="inlineStr">
        <is>
          <t>PMA20 ข้าวFrozen</t>
        </is>
      </c>
      <c r="B93" s="101" t="n"/>
      <c r="C93" s="108" t="n"/>
      <c r="D93" s="4" t="n"/>
      <c r="E93" s="6" t="n"/>
      <c r="F93" s="179" t="n"/>
      <c r="G93" s="164" t="n"/>
      <c r="H93" s="40">
        <f>SUM(D93:G93)</f>
        <v/>
      </c>
      <c r="I93" s="41">
        <f>D93/B93%</f>
        <v/>
      </c>
      <c r="J93" s="41">
        <f>E93/C93%</f>
        <v/>
      </c>
      <c r="K93" s="98">
        <f>(D93+E93)/(B93+C93)%</f>
        <v/>
      </c>
      <c r="L93" s="101" t="n"/>
      <c r="M93" s="108" t="n"/>
      <c r="N93" s="4" t="n"/>
      <c r="O93" s="6" t="n"/>
      <c r="P93" s="179" t="n"/>
      <c r="Q93" s="164" t="n"/>
      <c r="R93" s="40">
        <f>SUM(N93:Q93)</f>
        <v/>
      </c>
      <c r="S93" s="41">
        <f>N93/L93%</f>
        <v/>
      </c>
      <c r="T93" s="41">
        <f>O93/M93%</f>
        <v/>
      </c>
      <c r="U93" s="98">
        <f>(N93+O93)/(L93+M93)%</f>
        <v/>
      </c>
      <c r="V93" s="101" t="n"/>
      <c r="W93" s="108" t="n"/>
      <c r="X93" s="4" t="n"/>
      <c r="Y93" s="6" t="n"/>
      <c r="Z93" s="179" t="n"/>
      <c r="AA93" s="164" t="n"/>
      <c r="AB93" s="40">
        <f>SUM(X93:AA93)</f>
        <v/>
      </c>
      <c r="AC93" s="41">
        <f>X93/V93%</f>
        <v/>
      </c>
      <c r="AD93" s="41">
        <f>Y93/W93%</f>
        <v/>
      </c>
      <c r="AE93" s="98">
        <f>(X93+Y93)/(V93+W93)%</f>
        <v/>
      </c>
      <c r="AF93" s="43">
        <f>(D93+E93+N93+O93+X93+Y93)/(B93+L93+V93)*100</f>
        <v/>
      </c>
      <c r="AG93" s="43">
        <f>(D15+E15+N15+O15+X15+Y15+D41+E41+N41+O41+X41+Y41+D67+E67+N67+O67+X67+Y67+D93+E93+N93+O93+X93+Y93)/(B15+C15+L15+M15+V15+W15+B41+C41+L41+M41+V41+W41+B67+C67+L67+M67+V67+W67+B93+C93+L93+M93+V93+W93)*100</f>
        <v/>
      </c>
    </row>
    <row r="94">
      <c r="A94" s="69" t="inlineStr">
        <is>
          <t>PMA20 ทอด</t>
        </is>
      </c>
      <c r="B94" s="101" t="n"/>
      <c r="C94" s="108" t="n"/>
      <c r="D94" s="4" t="n"/>
      <c r="E94" s="6" t="n"/>
      <c r="F94" s="179" t="n"/>
      <c r="G94" s="164" t="n"/>
      <c r="H94" s="40">
        <f>SUM(D94:G94)</f>
        <v/>
      </c>
      <c r="I94" s="41">
        <f>D94/B94%</f>
        <v/>
      </c>
      <c r="J94" s="41">
        <f>E94/C94%</f>
        <v/>
      </c>
      <c r="K94" s="98">
        <f>(D94+E94)/(B94+C94)%</f>
        <v/>
      </c>
      <c r="L94" s="101" t="n"/>
      <c r="M94" s="108" t="n"/>
      <c r="N94" s="50" t="n"/>
      <c r="O94" s="8" t="n"/>
      <c r="P94" s="189" t="n"/>
      <c r="Q94" s="195" t="n"/>
      <c r="R94" s="51">
        <f>SUM(N94:Q94)</f>
        <v/>
      </c>
      <c r="S94" s="41">
        <f>N94/L94%</f>
        <v/>
      </c>
      <c r="T94" s="41">
        <f>O94/M94%</f>
        <v/>
      </c>
      <c r="U94" s="98">
        <f>(N94+O94)/(L94+M94)%</f>
        <v/>
      </c>
      <c r="V94" s="101" t="n"/>
      <c r="W94" s="108" t="n"/>
      <c r="X94" s="4" t="n"/>
      <c r="Y94" s="6" t="n"/>
      <c r="Z94" s="179" t="n"/>
      <c r="AA94" s="164" t="n"/>
      <c r="AB94" s="40">
        <f>SUM(X94:AA94)</f>
        <v/>
      </c>
      <c r="AC94" s="41">
        <f>X94/V94%</f>
        <v/>
      </c>
      <c r="AD94" s="41">
        <f>Y94/W94%</f>
        <v/>
      </c>
      <c r="AE94" s="98">
        <f>(X94+Y94)/(V94+W94)%</f>
        <v/>
      </c>
      <c r="AF94" s="43">
        <f>(D94+E94+N94+O94+X94+Y94)/(B94+L94+V94)*100</f>
        <v/>
      </c>
      <c r="AG94" s="43">
        <f>(D16+E16+N16+O16+X16+Y16+D42+E42+N42+O42+X42+Y42+D68+E68+N68+O68+X68+Y68+D94+E94+N94+O94+X94+Y94)/(B16+C16+L16+M16+V16+W16+B42+C42+L42+M42+V42+W42+B68+C68+L68+M68+V68+W68+B94+C94+L94+M94+V94+W94)*100</f>
        <v/>
      </c>
    </row>
    <row r="95">
      <c r="A95" s="69" t="inlineStr">
        <is>
          <t>PMA06 ทอด</t>
        </is>
      </c>
      <c r="B95" s="101" t="n"/>
      <c r="C95" s="108" t="n"/>
      <c r="D95" s="4" t="n"/>
      <c r="E95" s="6" t="n"/>
      <c r="F95" s="179" t="n"/>
      <c r="G95" s="164" t="n"/>
      <c r="H95" s="40">
        <f>SUM(D95:G95)</f>
        <v/>
      </c>
      <c r="I95" s="41">
        <f>D95/B95%</f>
        <v/>
      </c>
      <c r="J95" s="41">
        <f>E95/C95%</f>
        <v/>
      </c>
      <c r="K95" s="98">
        <f>(D95+E95)/(B95+C95)%</f>
        <v/>
      </c>
      <c r="L95" s="101" t="n"/>
      <c r="M95" s="108" t="n"/>
      <c r="N95" s="63" t="n"/>
      <c r="O95" s="63" t="n"/>
      <c r="P95" s="191" t="n"/>
      <c r="Q95" s="206" t="n"/>
      <c r="R95" s="63">
        <f>SUM(N95:Q95)</f>
        <v/>
      </c>
      <c r="S95" s="42">
        <f>N95/L95%</f>
        <v/>
      </c>
      <c r="T95" s="41">
        <f>O95/M95%</f>
        <v/>
      </c>
      <c r="U95" s="98">
        <f>(N95+O95)/(L95+M95)%</f>
        <v/>
      </c>
      <c r="V95" s="101" t="n"/>
      <c r="W95" s="108" t="n"/>
      <c r="X95" s="4" t="n"/>
      <c r="Y95" s="6" t="n"/>
      <c r="Z95" s="179" t="n"/>
      <c r="AA95" s="164" t="n"/>
      <c r="AB95" s="40">
        <f>SUM(X95:AA95)</f>
        <v/>
      </c>
      <c r="AC95" s="41">
        <f>X95/V95%</f>
        <v/>
      </c>
      <c r="AD95" s="41">
        <f>Y95/W95%</f>
        <v/>
      </c>
      <c r="AE95" s="98">
        <f>(X95+Y95)/(V95+W95)%</f>
        <v/>
      </c>
      <c r="AF95" s="43">
        <f>(D95+E95+N95+O95+X95+Y95)/(B95+L95+V95)*100</f>
        <v/>
      </c>
      <c r="AG95" s="43">
        <f>(D17+E17+N17+O17+X17+Y17+D43+E43+N43+O43+X43+Y43+D69+E69+N69+O69+X69+Y69+D95+E95+N95+O95+X95+Y95)/(B17+C17+L17+M17+V17+W17+B43+C43+L43+M43+V43+W43+B69+C69+L69+M69+V69+W69+B95+C95+L95+M95+V95+W95)*100</f>
        <v/>
      </c>
    </row>
    <row r="96">
      <c r="A96" s="69" t="inlineStr">
        <is>
          <t>PMA06 โครงการพิเศษ</t>
        </is>
      </c>
      <c r="B96" s="152" t="n"/>
      <c r="C96" s="110" t="n"/>
      <c r="D96" s="4" t="n"/>
      <c r="E96" s="6" t="n"/>
      <c r="F96" s="179" t="n"/>
      <c r="G96" s="195" t="n"/>
      <c r="H96" s="40">
        <f>SUM(D96:G96)</f>
        <v/>
      </c>
      <c r="I96" s="41">
        <f>D96/B96%</f>
        <v/>
      </c>
      <c r="J96" s="41">
        <f>E96/C96%</f>
        <v/>
      </c>
      <c r="K96" s="98">
        <f>(D96+E96)/(B96+C96)%</f>
        <v/>
      </c>
      <c r="L96" s="152" t="n"/>
      <c r="M96" s="110" t="n"/>
      <c r="N96" s="63" t="n"/>
      <c r="O96" s="63" t="n"/>
      <c r="P96" s="191" t="n"/>
      <c r="Q96" s="206" t="n"/>
      <c r="R96" s="63">
        <f>SUM(N96:Q96)</f>
        <v/>
      </c>
      <c r="S96" s="42">
        <f>N96/L96%</f>
        <v/>
      </c>
      <c r="T96" s="41">
        <f>O96/M96%</f>
        <v/>
      </c>
      <c r="U96" s="98">
        <f>(N96+O96)/(L96+M96)%</f>
        <v/>
      </c>
      <c r="V96" s="152" t="n"/>
      <c r="W96" s="110" t="n"/>
      <c r="X96" s="4" t="n"/>
      <c r="Y96" s="6" t="n"/>
      <c r="Z96" s="179" t="n"/>
      <c r="AA96" s="195" t="n"/>
      <c r="AB96" s="40">
        <f>SUM(X96:AA96)</f>
        <v/>
      </c>
      <c r="AC96" s="41">
        <f>X96/V96%</f>
        <v/>
      </c>
      <c r="AD96" s="41">
        <f>Y96/W96%</f>
        <v/>
      </c>
      <c r="AE96" s="98">
        <f>(X96+Y96)/(V96+W96)%</f>
        <v/>
      </c>
      <c r="AF96" s="43">
        <f>(D96+E96+N96+O96+X96+Y96)/(B96+L96+V96)*100</f>
        <v/>
      </c>
      <c r="AG96" s="43">
        <f>(D18+E18+N18+O18+X18+Y18+D44+E44+N44+O44+X44+Y44+D70+E70+N70+O70+X70+Y70+D96+E96+N96+O96+X96+Y96)/(B18+C18+L18+M18+V18+W18+B44+C44+L44+M44+V44+W44+B70+C70+L70+M70+V70+W70+B96+C96+L96+M96+V96+W96)*100</f>
        <v/>
      </c>
    </row>
    <row r="97">
      <c r="A97" s="71" t="inlineStr">
        <is>
          <t>PMA76 โครงการพิเศษ</t>
        </is>
      </c>
      <c r="B97" s="153" t="n"/>
      <c r="C97" s="111" t="n"/>
      <c r="D97" s="41" t="n"/>
      <c r="E97" s="51" t="n"/>
      <c r="F97" s="190" t="n"/>
      <c r="G97" s="198" t="n"/>
      <c r="H97" s="5">
        <f>SUM(D97:G97)</f>
        <v/>
      </c>
      <c r="I97" s="41">
        <f>D97/B97%</f>
        <v/>
      </c>
      <c r="J97" s="41">
        <f>E97/C97%</f>
        <v/>
      </c>
      <c r="K97" s="98">
        <f>(D97+E97)/(B97+C97)%</f>
        <v/>
      </c>
      <c r="L97" s="153" t="n"/>
      <c r="M97" s="111" t="n"/>
      <c r="N97" s="63" t="n"/>
      <c r="O97" s="63" t="n"/>
      <c r="P97" s="191" t="n"/>
      <c r="Q97" s="199" t="n"/>
      <c r="R97" s="63">
        <f>SUM(N97:Q97)</f>
        <v/>
      </c>
      <c r="S97" s="42">
        <f>N97/L97%</f>
        <v/>
      </c>
      <c r="T97" s="41">
        <f>O97/M97%</f>
        <v/>
      </c>
      <c r="U97" s="98">
        <f>(N97+O97)/(L97+M97)%</f>
        <v/>
      </c>
      <c r="V97" s="153" t="n"/>
      <c r="W97" s="111" t="n"/>
      <c r="X97" s="41" t="n"/>
      <c r="Y97" s="51" t="n"/>
      <c r="Z97" s="190" t="n"/>
      <c r="AA97" s="198" t="n"/>
      <c r="AB97" s="5">
        <f>SUM(X97:AA97)</f>
        <v/>
      </c>
      <c r="AC97" s="41">
        <f>X97/V97%</f>
        <v/>
      </c>
      <c r="AD97" s="41">
        <f>Y97/W97%</f>
        <v/>
      </c>
      <c r="AE97" s="98">
        <f>(X97+Y97)/(V97+W97)%</f>
        <v/>
      </c>
      <c r="AF97" s="43">
        <f>(D97+E97+N97+O97+X97+Y97)/(B97+L97+V97)*100</f>
        <v/>
      </c>
      <c r="AG97" s="43">
        <f>(D19+E19+N19+O19+X19+Y19+D45+E45+N45+O45+X45+Y45+D71+E71+N71+O71+X71+Y71+D97+E97+N97+O97+X97+Y97)/(B19+C19+L19+M19+V19+W19+B45+C45+L45+M45+V45+W45+B71+C71+L71+M71+V71+W71+B97+C97+L97+M97+V97+W97)*100</f>
        <v/>
      </c>
    </row>
    <row r="98">
      <c r="A98" s="71" t="inlineStr">
        <is>
          <t>non 7-11 โครงการพิเศษ</t>
        </is>
      </c>
      <c r="B98" s="153" t="n"/>
      <c r="C98" s="111" t="n"/>
      <c r="D98" s="40" t="n"/>
      <c r="E98" s="63" t="n"/>
      <c r="F98" s="191" t="n"/>
      <c r="G98" s="199" t="n"/>
      <c r="H98" s="63">
        <f>SUM(D98:G98)</f>
        <v/>
      </c>
      <c r="I98" s="42">
        <f>D98/B98%</f>
        <v/>
      </c>
      <c r="J98" s="41">
        <f>E98/C98%</f>
        <v/>
      </c>
      <c r="K98" s="98">
        <f>(D98+E98)/(B98+C98)%</f>
        <v/>
      </c>
      <c r="L98" s="153" t="n"/>
      <c r="M98" s="111" t="n"/>
      <c r="N98" s="63" t="n"/>
      <c r="O98" s="63" t="n"/>
      <c r="P98" s="191" t="n"/>
      <c r="Q98" s="199" t="n"/>
      <c r="R98" s="63">
        <f>SUM(N98:Q98)</f>
        <v/>
      </c>
      <c r="S98" s="42">
        <f>N98/L98%</f>
        <v/>
      </c>
      <c r="T98" s="41">
        <f>O98/M98%</f>
        <v/>
      </c>
      <c r="U98" s="98">
        <f>(N98+O98)/(L98+M98)%</f>
        <v/>
      </c>
      <c r="V98" s="153" t="n"/>
      <c r="W98" s="111" t="n"/>
      <c r="X98" s="40" t="n"/>
      <c r="Y98" s="63" t="n"/>
      <c r="Z98" s="191" t="n"/>
      <c r="AA98" s="199" t="n"/>
      <c r="AB98" s="63">
        <f>SUM(X98:AA98)</f>
        <v/>
      </c>
      <c r="AC98" s="42">
        <f>X98/V98%</f>
        <v/>
      </c>
      <c r="AD98" s="41">
        <f>Y98/W98%</f>
        <v/>
      </c>
      <c r="AE98" s="98">
        <f>(X98+Y98)/(V98+W98)%</f>
        <v/>
      </c>
      <c r="AF98" s="43">
        <f>(D98+E98+N98+O98+X98+Y98)/(B98+L98+V98)*100</f>
        <v/>
      </c>
      <c r="AG98" s="43">
        <f>(D20+E20+N20+O20+X20+Y20+D46+E46+N46+O46+X46+Y46+D72+E72+N72+O72+X72+Y72+D98+E98+N98+O98+X98+Y98)/(B20+C20+L20+M20+V20+W20+B46+C46+L46+M46+V46+W46+B72+C72+L72+M72+V72+W72+B98+C98+L98+M98+V98+W98)*100</f>
        <v/>
      </c>
    </row>
    <row r="99">
      <c r="A99" s="87" t="inlineStr">
        <is>
          <t>ติ่มซำ non-7 ในประเทศ</t>
        </is>
      </c>
      <c r="B99" s="119" t="n"/>
      <c r="C99" s="112" t="n"/>
      <c r="D99" s="40" t="n"/>
      <c r="E99" s="63" t="n"/>
      <c r="F99" s="191" t="n"/>
      <c r="G99" s="206" t="n"/>
      <c r="H99" s="63">
        <f>SUM(D99:G99)</f>
        <v/>
      </c>
      <c r="I99" s="42">
        <f>D99/B99%</f>
        <v/>
      </c>
      <c r="J99" s="41">
        <f>E99/C99%</f>
        <v/>
      </c>
      <c r="K99" s="98">
        <f>(D99+E99)/(B99+C99)%</f>
        <v/>
      </c>
      <c r="L99" s="119" t="n"/>
      <c r="M99" s="112" t="n"/>
      <c r="N99" s="63" t="n"/>
      <c r="O99" s="63" t="n"/>
      <c r="P99" s="191" t="n"/>
      <c r="Q99" s="206" t="n"/>
      <c r="R99" s="63">
        <f>SUM(N99:Q99)</f>
        <v/>
      </c>
      <c r="S99" s="42">
        <f>N99/L99%</f>
        <v/>
      </c>
      <c r="T99" s="41">
        <f>O99/M99%</f>
        <v/>
      </c>
      <c r="U99" s="98">
        <f>(N99+O99)/(L99+M99)%</f>
        <v/>
      </c>
      <c r="V99" s="119" t="n"/>
      <c r="W99" s="112" t="n"/>
      <c r="X99" s="40" t="n"/>
      <c r="Y99" s="63" t="n"/>
      <c r="Z99" s="191" t="n"/>
      <c r="AA99" s="206" t="n"/>
      <c r="AB99" s="63">
        <f>SUM(X99:AA99)</f>
        <v/>
      </c>
      <c r="AC99" s="42">
        <f>X99/V99%</f>
        <v/>
      </c>
      <c r="AD99" s="41">
        <f>Y99/W99%</f>
        <v/>
      </c>
      <c r="AE99" s="98">
        <f>(X99+Y99)/(V99+W99)%</f>
        <v/>
      </c>
      <c r="AF99" s="43">
        <f>(D99+E99+N99+O99+X99+Y99)/(B99+L99+V99)*100</f>
        <v/>
      </c>
      <c r="AG99" s="43">
        <f>(D21+E21+N21+O21+X21+Y21+D47+E47+N47+O47+X47+Y47+D73+E73+N73+O73+X73+Y73+D99+E99+N99+O99+X99+Y99)/(B21+C21+L21+M21+V21+W21+B47+C47+L47+M47+V47+W47+B73+C73+L73+M73+V73+W73+B99+C99+L99+M99+V99+W99)*100</f>
        <v/>
      </c>
    </row>
    <row r="100">
      <c r="A100" s="71" t="inlineStr">
        <is>
          <t>ส่งออก โครงการพิเศษ</t>
        </is>
      </c>
      <c r="B100" s="119" t="n"/>
      <c r="C100" s="112" t="n"/>
      <c r="D100" s="40" t="n"/>
      <c r="E100" s="63" t="n"/>
      <c r="F100" s="191" t="n"/>
      <c r="G100" s="199" t="n"/>
      <c r="H100" s="63">
        <f>SUM(D100:G100)</f>
        <v/>
      </c>
      <c r="I100" s="42">
        <f>D100/B100%</f>
        <v/>
      </c>
      <c r="J100" s="41">
        <f>E100/C100%</f>
        <v/>
      </c>
      <c r="K100" s="98">
        <f>(D100+E100)/(B100+C100)%</f>
        <v/>
      </c>
      <c r="L100" s="119" t="n"/>
      <c r="M100" s="112" t="n"/>
      <c r="N100" s="63" t="n"/>
      <c r="O100" s="63" t="n"/>
      <c r="P100" s="191" t="n"/>
      <c r="Q100" s="199" t="n"/>
      <c r="R100" s="63">
        <f>SUM(N100:Q100)</f>
        <v/>
      </c>
      <c r="S100" s="42">
        <f>N100/L100%</f>
        <v/>
      </c>
      <c r="T100" s="41">
        <f>O100/M100%</f>
        <v/>
      </c>
      <c r="U100" s="98">
        <f>(N100+O100)/(L100+M100)%</f>
        <v/>
      </c>
      <c r="V100" s="119" t="n"/>
      <c r="W100" s="112" t="n"/>
      <c r="X100" s="40" t="n"/>
      <c r="Y100" s="63" t="n"/>
      <c r="Z100" s="191" t="n"/>
      <c r="AA100" s="199" t="n"/>
      <c r="AB100" s="63">
        <f>SUM(X100:AA100)</f>
        <v/>
      </c>
      <c r="AC100" s="42">
        <f>X100/V100%</f>
        <v/>
      </c>
      <c r="AD100" s="41">
        <f>Y100/W100%</f>
        <v/>
      </c>
      <c r="AE100" s="98">
        <f>(X100+Y100)/(V100+W100)%</f>
        <v/>
      </c>
      <c r="AF100" s="43">
        <f>(D100+E100+N100+O100+X100+Y100)/(B100+L100+V100)*100</f>
        <v/>
      </c>
      <c r="AG100" s="43">
        <f>(D22+E22+N22+O22+X22+Y22+D48+E48+N48+O48+X48+Y48+D74+E74+N74+O74+X74+Y74+D100+E100+N100+O100+X100+Y100)/(B22+C22+L22+M22+V22+W22+B48+C48+L48+M48+V48+W48+B74+C74+L74+M74+V74+W74+B100+C100+L100+M100+V100+W100)*100</f>
        <v/>
      </c>
    </row>
    <row r="101">
      <c r="A101" s="207" t="inlineStr">
        <is>
          <t>ส่่งออก ทีมข้าวFrozen</t>
        </is>
      </c>
      <c r="B101" s="119" t="n"/>
      <c r="C101" s="112" t="n"/>
      <c r="D101" s="41" t="n"/>
      <c r="E101" s="40" t="n"/>
      <c r="F101" s="191" t="n"/>
      <c r="G101" s="199" t="n"/>
      <c r="H101" s="63">
        <f>SUM(D101:G101)</f>
        <v/>
      </c>
      <c r="I101" s="42">
        <f>D101/B101%</f>
        <v/>
      </c>
      <c r="J101" s="41">
        <f>E101/C101%</f>
        <v/>
      </c>
      <c r="K101" s="98">
        <f>(D101+E101)/(B101+C101)%</f>
        <v/>
      </c>
      <c r="L101" s="119" t="n"/>
      <c r="M101" s="112" t="n"/>
      <c r="N101" s="41" t="n"/>
      <c r="O101" s="40" t="n"/>
      <c r="P101" s="191" t="n"/>
      <c r="Q101" s="199" t="n"/>
      <c r="R101" s="63">
        <f>SUM(N101:Q101)</f>
        <v/>
      </c>
      <c r="S101" s="42">
        <f>N101/L101%</f>
        <v/>
      </c>
      <c r="T101" s="41">
        <f>O101/M101%</f>
        <v/>
      </c>
      <c r="U101" s="98">
        <f>(N101+O101)/(L101+M101)%</f>
        <v/>
      </c>
      <c r="V101" s="119" t="n"/>
      <c r="W101" s="112" t="n"/>
      <c r="X101" s="40" t="n"/>
      <c r="Y101" s="63" t="n"/>
      <c r="Z101" s="191" t="n"/>
      <c r="AA101" s="199" t="n"/>
      <c r="AB101" s="63" t="n"/>
      <c r="AC101" s="42" t="n"/>
      <c r="AD101" s="41" t="n"/>
      <c r="AE101" s="98" t="n"/>
      <c r="AF101" s="43" t="n"/>
      <c r="AG101" s="43" t="n"/>
    </row>
    <row r="102">
      <c r="A102" s="44" t="inlineStr">
        <is>
          <t>ติ่มซำส่งออก</t>
        </is>
      </c>
      <c r="B102" s="119" t="n"/>
      <c r="C102" s="112" t="n"/>
      <c r="D102" s="41" t="n"/>
      <c r="E102" s="40" t="n"/>
      <c r="F102" s="184" t="n"/>
      <c r="G102" s="169" t="n"/>
      <c r="H102" s="40">
        <f>SUM(D102:G102)</f>
        <v/>
      </c>
      <c r="I102" s="41">
        <f>D102/B102%</f>
        <v/>
      </c>
      <c r="J102" s="41">
        <f>E102/C102%</f>
        <v/>
      </c>
      <c r="K102" s="98">
        <f>(D102+E102)/(B102+C102)%</f>
        <v/>
      </c>
      <c r="L102" s="119" t="n"/>
      <c r="M102" s="112" t="n"/>
      <c r="N102" s="41" t="n"/>
      <c r="O102" s="40" t="n"/>
      <c r="P102" s="184" t="n"/>
      <c r="Q102" s="169" t="n"/>
      <c r="R102" s="40">
        <f>SUM(N102:Q102)</f>
        <v/>
      </c>
      <c r="S102" s="41">
        <f>N102/L102%</f>
        <v/>
      </c>
      <c r="T102" s="41">
        <f>O102/M102%</f>
        <v/>
      </c>
      <c r="U102" s="98">
        <f>(N102+O102)/(L102+M102)%</f>
        <v/>
      </c>
      <c r="V102" s="119" t="n"/>
      <c r="W102" s="112" t="n"/>
      <c r="X102" s="41" t="n"/>
      <c r="Y102" s="40" t="n"/>
      <c r="Z102" s="184" t="n"/>
      <c r="AA102" s="169" t="n"/>
      <c r="AB102" s="40">
        <f>SUM(X102:AA102)</f>
        <v/>
      </c>
      <c r="AC102" s="41">
        <f>X102/V102%</f>
        <v/>
      </c>
      <c r="AD102" s="41">
        <f>Y102/W102%</f>
        <v/>
      </c>
      <c r="AE102" s="98">
        <f>(X102+Y102)/(V102+W102)%</f>
        <v/>
      </c>
      <c r="AF102" s="43">
        <f>(D102+E102+N102+O102+X102+Y102)/(B102+L102+V102)*100</f>
        <v/>
      </c>
      <c r="AG102" s="43">
        <f>(D24+E24+N24+O24+X24+Y24+D50+E50+N50+O50+X50+Y50+D76+E76+N76+O76+X76+Y76+D102+E102+N102+O102+X102+Y102)/(B24+C24+L24+M24+V24+W24+B50+C50+L50+M50+V50+W50+B76+C76+L76+M76+V76+W76+B102+C102+L102+M102+V102+W102)*100</f>
        <v/>
      </c>
    </row>
    <row r="103" ht="15" customHeight="1" thickBot="1">
      <c r="A103" s="48" t="inlineStr">
        <is>
          <t>Snack ส่งออก</t>
        </is>
      </c>
      <c r="B103" s="120" t="n"/>
      <c r="C103" s="113" t="n"/>
      <c r="D103" s="50" t="n"/>
      <c r="E103" s="8" t="n"/>
      <c r="F103" s="189" t="n"/>
      <c r="G103" s="195" t="n"/>
      <c r="H103" s="51">
        <f>SUM(D103:G103)</f>
        <v/>
      </c>
      <c r="I103" s="125">
        <f>D103/B103%</f>
        <v/>
      </c>
      <c r="J103" s="103">
        <f>E103/C103%</f>
        <v/>
      </c>
      <c r="K103" s="98">
        <f>(D103+E103)/(B103+C103)%</f>
        <v/>
      </c>
      <c r="L103" s="49" t="n"/>
      <c r="M103" s="113" t="n"/>
      <c r="N103" s="50" t="n"/>
      <c r="O103" s="8" t="n"/>
      <c r="P103" s="189" t="n"/>
      <c r="Q103" s="195" t="n"/>
      <c r="R103" s="51">
        <f>SUM(N103:Q103)</f>
        <v/>
      </c>
      <c r="S103" s="125">
        <f>N103/L103%</f>
        <v/>
      </c>
      <c r="T103" s="103">
        <f>O103/M103%</f>
        <v/>
      </c>
      <c r="U103" s="98">
        <f>(N103+O103)/(L103+M103)%</f>
        <v/>
      </c>
      <c r="V103" s="49" t="n"/>
      <c r="W103" s="113" t="n"/>
      <c r="X103" s="50" t="n"/>
      <c r="Y103" s="8" t="n"/>
      <c r="Z103" s="189" t="n"/>
      <c r="AA103" s="195" t="n"/>
      <c r="AB103" s="51">
        <f>SUM(X103:AA103)</f>
        <v/>
      </c>
      <c r="AC103" s="125">
        <f>X103/V103%</f>
        <v/>
      </c>
      <c r="AD103" s="103">
        <f>Y103/W103%</f>
        <v/>
      </c>
      <c r="AE103" s="98">
        <f>(X103+Y103)/(V103+W103)%</f>
        <v/>
      </c>
      <c r="AF103" s="43">
        <f>(D103+E103+N103+O103+X103+Y103)/(B103+L103+V103)*100</f>
        <v/>
      </c>
      <c r="AG103" s="43">
        <f>(D25+E25+N25+O25+X25+Y25+D51+E51+N51+O51+X51+Y51+D77+E77+N77+O77+X77+Y77+D103+E103+N103+O103+X103+Y103)/(B25+C25+L25+M25+V25+W25+B51+C51+L51+M51+V51+W51+B77+C77+L77+M77+V77+W77+B103+C103+L103+M103+V103+W103)*100</f>
        <v/>
      </c>
    </row>
    <row r="104" ht="15" customFormat="1" customHeight="1" s="11" thickBot="1">
      <c r="A104" s="83" t="inlineStr">
        <is>
          <t>Total</t>
        </is>
      </c>
      <c r="B104" s="84">
        <f>SUM(B83:B103)</f>
        <v/>
      </c>
      <c r="C104" s="84">
        <f>SUM(C83:C103)</f>
        <v/>
      </c>
      <c r="D104" s="85">
        <f>SUM(D83:D103)</f>
        <v/>
      </c>
      <c r="E104" s="85">
        <f>SUM(E83:E103)</f>
        <v/>
      </c>
      <c r="F104" s="186">
        <f>SUM(F83:F103)</f>
        <v/>
      </c>
      <c r="G104" s="171">
        <f>SUM(G83:G103)</f>
        <v/>
      </c>
      <c r="H104" s="85">
        <f>SUM(H83:H103)</f>
        <v/>
      </c>
      <c r="I104" s="85">
        <f>D104/B104%</f>
        <v/>
      </c>
      <c r="J104" s="85">
        <f>E104/C104%</f>
        <v/>
      </c>
      <c r="K104" s="85">
        <f>(D104+E104)/(B104+C104)%</f>
        <v/>
      </c>
      <c r="L104" s="84">
        <f>SUM(L83:L103)</f>
        <v/>
      </c>
      <c r="M104" s="84">
        <f>SUM(M83:M103)</f>
        <v/>
      </c>
      <c r="N104" s="85">
        <f>SUM(N83:N103)</f>
        <v/>
      </c>
      <c r="O104" s="85">
        <f>SUM(O83:O103)</f>
        <v/>
      </c>
      <c r="P104" s="186">
        <f>SUM(P83:P103)</f>
        <v/>
      </c>
      <c r="Q104" s="171">
        <f>SUM(Q83:Q103)</f>
        <v/>
      </c>
      <c r="R104" s="85">
        <f>SUM(R83:R103)</f>
        <v/>
      </c>
      <c r="S104" s="85">
        <f>N104/L104%</f>
        <v/>
      </c>
      <c r="T104" s="85">
        <f>O104/M104%</f>
        <v/>
      </c>
      <c r="U104" s="85">
        <f>(N104+O104)/(L104+M104)%</f>
        <v/>
      </c>
      <c r="V104" s="84">
        <f>SUM(V83:V103)</f>
        <v/>
      </c>
      <c r="W104" s="84">
        <f>SUM(W83:W103)</f>
        <v/>
      </c>
      <c r="X104" s="85">
        <f>SUM(X83:X103)</f>
        <v/>
      </c>
      <c r="Y104" s="85">
        <f>SUM(Y83:Y103)</f>
        <v/>
      </c>
      <c r="Z104" s="186">
        <f>SUM(Z83:Z103)</f>
        <v/>
      </c>
      <c r="AA104" s="171">
        <f>SUM(AA83:AA103)</f>
        <v/>
      </c>
      <c r="AB104" s="85">
        <f>SUM(AB83:AB103)</f>
        <v/>
      </c>
      <c r="AC104" s="85">
        <f>X104/V104%</f>
        <v/>
      </c>
      <c r="AD104" s="85">
        <f>Y104/W104%</f>
        <v/>
      </c>
      <c r="AE104" s="85">
        <f>(X104+Y104)/(V104+W104)%</f>
        <v/>
      </c>
      <c r="AF104" s="37">
        <f>((D104+E104+N104+
O104+X104+Y104))/((B104+C104+L104+M104+V104+W104))*100</f>
        <v/>
      </c>
      <c r="AG104" s="154">
        <f>(D26+E26+N26+O26+X26+Y26+D52+E52+N52+O52+X52+Y52+D78+E78+N78+O78+X78+Y78+D104+E104+N104+O104+X104+Y104)/(B26+C26+L26+M26+V26+W26+B52+C52+L52+M52+V52+W52+B78+C78+L78+M78+V78+W78+B104+C104+L104+M104+V104+W104)*100</f>
        <v/>
      </c>
    </row>
  </sheetData>
  <mergeCells count="83">
    <mergeCell ref="F29:G29"/>
    <mergeCell ref="AF2:AF4"/>
    <mergeCell ref="AC55:AE55"/>
    <mergeCell ref="H55:H56"/>
    <mergeCell ref="B80:K80"/>
    <mergeCell ref="L3:M3"/>
    <mergeCell ref="N3:O3"/>
    <mergeCell ref="V80:AE80"/>
    <mergeCell ref="B54:K54"/>
    <mergeCell ref="AF28:AF30"/>
    <mergeCell ref="H81:H82"/>
    <mergeCell ref="R81:R82"/>
    <mergeCell ref="L29:M29"/>
    <mergeCell ref="N29:O29"/>
    <mergeCell ref="X29:Y29"/>
    <mergeCell ref="F81:G81"/>
    <mergeCell ref="Z29:AA29"/>
    <mergeCell ref="B55:C55"/>
    <mergeCell ref="L81:M81"/>
    <mergeCell ref="S3:U3"/>
    <mergeCell ref="V54:AE54"/>
    <mergeCell ref="AG28:AG30"/>
    <mergeCell ref="B3:C3"/>
    <mergeCell ref="AC29:AE29"/>
    <mergeCell ref="AG54:AG56"/>
    <mergeCell ref="R55:R56"/>
    <mergeCell ref="S55:U55"/>
    <mergeCell ref="X3:Y3"/>
    <mergeCell ref="Z3:AA3"/>
    <mergeCell ref="L28:U28"/>
    <mergeCell ref="B29:C29"/>
    <mergeCell ref="A54:A56"/>
    <mergeCell ref="I81:K81"/>
    <mergeCell ref="S81:U81"/>
    <mergeCell ref="D29:E29"/>
    <mergeCell ref="AB55:AB56"/>
    <mergeCell ref="N55:O55"/>
    <mergeCell ref="P55:Q55"/>
    <mergeCell ref="AF80:AF82"/>
    <mergeCell ref="L54:U54"/>
    <mergeCell ref="H29:H30"/>
    <mergeCell ref="Z55:AA55"/>
    <mergeCell ref="R29:R30"/>
    <mergeCell ref="A2:A4"/>
    <mergeCell ref="B81:C81"/>
    <mergeCell ref="D81:E81"/>
    <mergeCell ref="I3:K3"/>
    <mergeCell ref="I55:K55"/>
    <mergeCell ref="Z81:AA81"/>
    <mergeCell ref="A28:A30"/>
    <mergeCell ref="L2:U2"/>
    <mergeCell ref="V2:AE2"/>
    <mergeCell ref="I29:K29"/>
    <mergeCell ref="S29:U29"/>
    <mergeCell ref="H3:H4"/>
    <mergeCell ref="R3:R4"/>
    <mergeCell ref="AB3:AB4"/>
    <mergeCell ref="D3:E3"/>
    <mergeCell ref="V28:AE28"/>
    <mergeCell ref="AG80:AG82"/>
    <mergeCell ref="P3:Q3"/>
    <mergeCell ref="D55:E55"/>
    <mergeCell ref="AC81:AE81"/>
    <mergeCell ref="V3:W3"/>
    <mergeCell ref="V55:W55"/>
    <mergeCell ref="P29:Q29"/>
    <mergeCell ref="AB29:AB30"/>
    <mergeCell ref="L80:U80"/>
    <mergeCell ref="AB81:AB82"/>
    <mergeCell ref="F3:G3"/>
    <mergeCell ref="V29:W29"/>
    <mergeCell ref="F55:G55"/>
    <mergeCell ref="V81:W81"/>
    <mergeCell ref="N81:O81"/>
    <mergeCell ref="P81:Q81"/>
    <mergeCell ref="L55:M55"/>
    <mergeCell ref="X55:Y55"/>
    <mergeCell ref="B2:K2"/>
    <mergeCell ref="X81:Y81"/>
    <mergeCell ref="AF54:AF56"/>
    <mergeCell ref="AC3:AE3"/>
    <mergeCell ref="A80:A82"/>
    <mergeCell ref="B28:K28"/>
  </mergeCells>
  <pageMargins left="0.7" right="0.7" top="0.75" bottom="0.75" header="0.3" footer="0.3"/>
  <pageSetup orientation="landscape" paperSize="9" scale="49" fitToHeight="0"/>
  <rowBreaks count="1" manualBreakCount="1">
    <brk id="52" min="0" max="16383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S16"/>
  <sheetViews>
    <sheetView workbookViewId="0">
      <selection activeCell="S7" sqref="S7"/>
    </sheetView>
  </sheetViews>
  <sheetFormatPr baseColWidth="8" defaultRowHeight="14.25"/>
  <cols>
    <col width="6.625" customWidth="1" min="1" max="1"/>
    <col width="21.625" bestFit="1" customWidth="1" min="2" max="2"/>
    <col width="9.625" bestFit="1" customWidth="1" min="12" max="12"/>
    <col width="18.625" bestFit="1" customWidth="1" min="14" max="14"/>
  </cols>
  <sheetData>
    <row r="3">
      <c r="B3" s="334" t="inlineStr">
        <is>
          <t>ติ่มซำ (นึ่ง)</t>
        </is>
      </c>
      <c r="D3" t="inlineStr">
        <is>
          <t>Jan</t>
        </is>
      </c>
      <c r="F3" t="inlineStr">
        <is>
          <t>ตามแผน</t>
        </is>
      </c>
      <c r="H3" s="321" t="inlineStr">
        <is>
          <t>Export</t>
        </is>
      </c>
      <c r="J3" t="inlineStr">
        <is>
          <t>Q1</t>
        </is>
      </c>
      <c r="L3" t="inlineStr">
        <is>
          <t>All Store</t>
        </is>
      </c>
      <c r="N3" t="inlineStr">
        <is>
          <t>สินค้าไม่ผ่าน</t>
        </is>
      </c>
      <c r="O3" t="inlineStr">
        <is>
          <t>Man</t>
        </is>
      </c>
      <c r="Q3" t="inlineStr">
        <is>
          <t>เข้าซ้ำ</t>
        </is>
      </c>
      <c r="S3" t="inlineStr">
        <is>
          <t>Q1</t>
        </is>
      </c>
    </row>
    <row r="4">
      <c r="B4" s="335" t="inlineStr">
        <is>
          <t>เบอร์เกอร์ รองท้อง</t>
        </is>
      </c>
      <c r="D4" t="inlineStr">
        <is>
          <t>Feb</t>
        </is>
      </c>
      <c r="F4" t="inlineStr">
        <is>
          <t>นอกแผน</t>
        </is>
      </c>
      <c r="H4" s="319" t="inlineStr">
        <is>
          <t>non-7</t>
        </is>
      </c>
      <c r="J4" t="inlineStr">
        <is>
          <t>Q2</t>
        </is>
      </c>
      <c r="L4" t="inlineStr">
        <is>
          <t>ทดลองขาย</t>
        </is>
      </c>
      <c r="N4" t="inlineStr">
        <is>
          <t>product spec ไม่ตรง</t>
        </is>
      </c>
      <c r="O4" t="inlineStr">
        <is>
          <t>Machine</t>
        </is>
      </c>
      <c r="Q4" t="inlineStr">
        <is>
          <t>ไม่เข้าซ้ำ</t>
        </is>
      </c>
      <c r="S4" t="inlineStr">
        <is>
          <t>Q2</t>
        </is>
      </c>
    </row>
    <row r="5">
      <c r="B5" s="336" t="inlineStr">
        <is>
          <t>ข้าวเหนียว สเต็ก</t>
        </is>
      </c>
      <c r="D5" t="inlineStr">
        <is>
          <t>Mar</t>
        </is>
      </c>
      <c r="H5" s="317" t="inlineStr">
        <is>
          <t>PMA02</t>
        </is>
      </c>
      <c r="J5" t="inlineStr">
        <is>
          <t>Q3</t>
        </is>
      </c>
      <c r="L5" t="inlineStr">
        <is>
          <t>บางสาขา</t>
        </is>
      </c>
      <c r="N5" t="inlineStr">
        <is>
          <t>กระบวนการไม่ผ่าน (PD)</t>
        </is>
      </c>
      <c r="O5" t="inlineStr">
        <is>
          <t>Material</t>
        </is>
      </c>
      <c r="S5" t="inlineStr">
        <is>
          <t>Q3</t>
        </is>
      </c>
    </row>
    <row r="6">
      <c r="B6" s="337" t="inlineStr">
        <is>
          <t>ข้าวผัด ข้าวต้ม โจ๊ก</t>
        </is>
      </c>
      <c r="D6" t="inlineStr">
        <is>
          <t>Apr</t>
        </is>
      </c>
      <c r="H6" s="316" t="inlineStr">
        <is>
          <t>PMA06</t>
        </is>
      </c>
      <c r="J6" t="inlineStr">
        <is>
          <t>Q4</t>
        </is>
      </c>
      <c r="L6" t="inlineStr">
        <is>
          <t>non 7-11</t>
        </is>
      </c>
      <c r="N6" t="inlineStr">
        <is>
          <t>กระบวนการไม่ผ่าน (ผลิต)</t>
        </is>
      </c>
      <c r="O6" t="inlineStr">
        <is>
          <t>Method</t>
        </is>
      </c>
      <c r="S6" t="inlineStr">
        <is>
          <t>Q4</t>
        </is>
      </c>
    </row>
    <row r="7">
      <c r="B7" s="334" t="inlineStr">
        <is>
          <t>ข้าวและกับข้าว</t>
        </is>
      </c>
      <c r="D7" t="inlineStr">
        <is>
          <t>May</t>
        </is>
      </c>
      <c r="H7" s="315" t="inlineStr">
        <is>
          <t>PMA08</t>
        </is>
      </c>
      <c r="L7" t="inlineStr">
        <is>
          <t>ต่างประเทศ</t>
        </is>
      </c>
      <c r="N7" t="inlineStr">
        <is>
          <t>GHP ไม่ผ่าน</t>
        </is>
      </c>
      <c r="O7" t="inlineStr">
        <is>
          <t>Environment</t>
        </is>
      </c>
    </row>
    <row r="8">
      <c r="B8" s="335" t="inlineStr">
        <is>
          <t>กับข้าว</t>
        </is>
      </c>
      <c r="D8" t="inlineStr">
        <is>
          <t>Jun</t>
        </is>
      </c>
      <c r="H8" s="318" t="inlineStr">
        <is>
          <t>PMA16</t>
        </is>
      </c>
    </row>
    <row r="9">
      <c r="B9" s="335" t="inlineStr">
        <is>
          <t>ข้าวปั้น เครื่องเคียง</t>
        </is>
      </c>
      <c r="D9" t="inlineStr">
        <is>
          <t>Jul</t>
        </is>
      </c>
      <c r="H9" s="320" t="inlineStr">
        <is>
          <t>PMA19</t>
        </is>
      </c>
      <c r="K9" s="75" t="n"/>
    </row>
    <row r="10">
      <c r="B10" s="334" t="inlineStr">
        <is>
          <t xml:space="preserve">เส้น (แป้งสาลี) ซุป </t>
        </is>
      </c>
      <c r="D10" t="inlineStr">
        <is>
          <t>Aug</t>
        </is>
      </c>
      <c r="H10" s="318" t="inlineStr">
        <is>
          <t>PMA20</t>
        </is>
      </c>
      <c r="K10" s="75" t="n"/>
    </row>
    <row r="11">
      <c r="B11" s="335" t="inlineStr">
        <is>
          <t>เส้น (ข้าวไทย)</t>
        </is>
      </c>
      <c r="D11" t="inlineStr">
        <is>
          <t>Sep</t>
        </is>
      </c>
      <c r="H11" s="319" t="inlineStr">
        <is>
          <t>PMA22</t>
        </is>
      </c>
      <c r="K11" s="75" t="n"/>
    </row>
    <row r="12">
      <c r="B12" s="334" t="inlineStr">
        <is>
          <t>สลัด ยำ น้ำจิ้ม</t>
        </is>
      </c>
      <c r="D12" t="inlineStr">
        <is>
          <t>Oct</t>
        </is>
      </c>
      <c r="H12" s="317" t="inlineStr">
        <is>
          <t>PMA24</t>
        </is>
      </c>
      <c r="K12" s="75" t="n"/>
    </row>
    <row r="13">
      <c r="B13" s="334" t="inlineStr">
        <is>
          <t>ติ่มซำ รองท้อง (ทอด)</t>
        </is>
      </c>
      <c r="D13" t="inlineStr">
        <is>
          <t>Nov</t>
        </is>
      </c>
      <c r="K13" s="75" t="n"/>
    </row>
    <row r="14">
      <c r="D14" t="inlineStr">
        <is>
          <t>Dec</t>
        </is>
      </c>
      <c r="K14" s="75" t="n"/>
    </row>
    <row r="15">
      <c r="K15" s="75" t="n"/>
    </row>
    <row r="16">
      <c r="K16" s="75" t="n"/>
    </row>
  </sheetData>
  <dataValidations count="1">
    <dataValidation sqref="B3:B13" showDropDown="0" showInputMessage="1" showErrorMessage="1" allowBlank="1" type="list">
      <formula1>$B$3:$B$13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zoomScaleNormal="100" workbookViewId="0">
      <selection activeCell="G13" sqref="G13"/>
    </sheetView>
  </sheetViews>
  <sheetFormatPr baseColWidth="8" defaultRowHeight="14.25"/>
  <cols>
    <col width="59.375" bestFit="1" customWidth="1" min="1" max="1"/>
    <col width="54.5" bestFit="1" customWidth="1" min="2" max="2"/>
    <col width="47.75" bestFit="1" customWidth="1" min="3" max="3"/>
    <col width="33.875" bestFit="1" customWidth="1" min="4" max="4"/>
    <col width="26.375" bestFit="1" customWidth="1" min="5" max="5"/>
    <col width="56.625" bestFit="1" customWidth="1" min="6" max="6"/>
    <col width="49.125" bestFit="1" customWidth="1" min="7" max="7"/>
    <col width="62.75" bestFit="1" customWidth="1" min="8" max="8"/>
  </cols>
  <sheetData>
    <row r="1" ht="25.5" customFormat="1" customHeight="1" s="10">
      <c r="A1" s="7" t="inlineStr">
        <is>
          <t>สาเหตุ</t>
        </is>
      </c>
      <c r="B1" s="301" t="inlineStr">
        <is>
          <t>มีConceptจากMktของCPRAMมาให้แต่เสนอConceptแล้วไม่ผ่าน</t>
        </is>
      </c>
      <c r="C1" s="301" t="inlineStr">
        <is>
          <t>มีConceptจากลูกค้ามาให้แต่เสนอConceptแล้วไม่ผ่าน</t>
        </is>
      </c>
      <c r="D1" s="301" t="inlineStr">
        <is>
          <t>ไม่มีConceptแต่เสนอสินค้าแล้วไม่ผ่าน</t>
        </is>
      </c>
      <c r="E1" s="17" t="inlineStr">
        <is>
          <t>ไม่ผ่านในขั้นตอนScreenTest</t>
        </is>
      </c>
      <c r="F1" s="17" t="inlineStr">
        <is>
          <t>Merหรือลูกค้าขอยกเลิก</t>
        </is>
      </c>
      <c r="G1" s="17" t="inlineStr">
        <is>
          <t>CPRAMขอยกเลิก</t>
        </is>
      </c>
      <c r="H1" s="17" t="inlineStr">
        <is>
          <t>อื่นๆ</t>
        </is>
      </c>
      <c r="I1" s="305" t="n"/>
      <c r="J1" s="305" t="n"/>
      <c r="K1" s="305" t="n"/>
      <c r="L1" s="305" t="n"/>
      <c r="M1" s="305" t="n"/>
    </row>
    <row r="2" customFormat="1" s="27">
      <c r="A2" s="301" t="inlineStr">
        <is>
          <t>มีConceptจากMktของCPRAMมาให้แต่เสนอConceptแล้วไม่ผ่าน</t>
        </is>
      </c>
      <c r="B2" s="17" t="inlineStr">
        <is>
          <t>1.1 เพราะสินค้าไม่ตรง Concept ที่ Mer หรือ ลูกค้า อยากได้</t>
        </is>
      </c>
      <c r="C2" s="17" t="inlineStr">
        <is>
          <t>2.1 เพราะสินค้าไม่ตรง Concept ที่ Mer หรือ ลูกค้า อยากได้</t>
        </is>
      </c>
      <c r="D2" s="304" t="inlineStr">
        <is>
          <t>-</t>
        </is>
      </c>
      <c r="E2" s="17" t="inlineStr">
        <is>
          <t>4.1 ต้นทุนวัตถุดิบไม่ผ่าน</t>
        </is>
      </c>
      <c r="F2" s="17" t="inlineStr">
        <is>
          <t>5.1 เพราะราคา RM สูง ทำให้ราคาขายสูง</t>
        </is>
      </c>
      <c r="G2" s="17" t="inlineStr">
        <is>
          <t>6.1 โรงงานติดปัญหาด้านแรงงานในการผลิต</t>
        </is>
      </c>
      <c r="H2" s="17" t="inlineStr">
        <is>
          <t>7.1 อายุสินค้าไม่ได้ตามความต้องการของลูกค้า (sensory/micro)</t>
        </is>
      </c>
    </row>
    <row r="3" customFormat="1" s="27">
      <c r="A3" s="301" t="inlineStr">
        <is>
          <t>มีConceptจากลูกค้ามาให้แต่เสนอConceptแล้วไม่ผ่าน</t>
        </is>
      </c>
      <c r="B3" s="17" t="inlineStr">
        <is>
          <t>1.2 เพราะสินค้าไม่เหมือน BM</t>
        </is>
      </c>
      <c r="C3" s="17" t="inlineStr">
        <is>
          <t>2.2 เพราะสินค้าไม่เหมือน BM</t>
        </is>
      </c>
      <c r="D3" s="302" t="n"/>
      <c r="E3" s="17" t="inlineStr">
        <is>
          <t>4.2 ต้นทุนแรงงานไม่ผ่าน</t>
        </is>
      </c>
      <c r="F3" s="17" t="inlineStr">
        <is>
          <t>5.2 เพราะเลื่อนขาย ราคาขายปลีกสูง (ช่วงโควิด)</t>
        </is>
      </c>
      <c r="G3" s="17" t="inlineStr">
        <is>
          <t>6.2 โรงงานติดปัญหาด้านกระบวนการผลิตซับซ้อน</t>
        </is>
      </c>
      <c r="H3" s="17" t="inlineStr">
        <is>
          <t>7.2 Hold เพราะสถานการณ์ Covid</t>
        </is>
      </c>
    </row>
    <row r="4" customFormat="1" s="27">
      <c r="A4" s="301" t="inlineStr">
        <is>
          <t>ไม่มีConceptแต่เสนอสินค้าแล้วไม่ผ่าน</t>
        </is>
      </c>
      <c r="B4" s="17" t="inlineStr">
        <is>
          <t>1.3 เพราะSurvey ลูกค้าแล้วไม่ผ่าน, ไม่น่าสนใจ</t>
        </is>
      </c>
      <c r="C4" s="17" t="inlineStr">
        <is>
          <t>2.3 ใกล้เคียงกับสินค้าที่จำหน่าย</t>
        </is>
      </c>
      <c r="D4" s="302" t="n"/>
      <c r="E4" s="17" t="inlineStr">
        <is>
          <t>4.3 ต้นทุน packaging ไม่ผ่าน</t>
        </is>
      </c>
      <c r="F4" s="17" t="inlineStr">
        <is>
          <t>5.3 เพราะชิมเทียบ Control แล้ว ไม่ต้องการ IMP ระหว่าง Sensory Test</t>
        </is>
      </c>
      <c r="G4" s="17" t="inlineStr">
        <is>
          <t>6.3 โรงงานติดปัญหาด้าน Capacity เครื่องจักร</t>
        </is>
      </c>
      <c r="H4" s="17" t="inlineStr">
        <is>
          <t>7.3 สินค้าเพื่อจัดแสดงสินค้างาน Event ต่างๆ</t>
        </is>
      </c>
    </row>
    <row r="5" customFormat="1" s="27">
      <c r="A5" s="17" t="inlineStr">
        <is>
          <t>ไม่ผ่านในขั้นตอนScreenTest</t>
        </is>
      </c>
      <c r="B5" s="17" t="inlineStr">
        <is>
          <t>1.4 เพราะ Mer แจ้งว่า Market Share น้อยเกินไป</t>
        </is>
      </c>
      <c r="C5" s="17" t="n"/>
      <c r="D5" s="302" t="n"/>
      <c r="E5" s="17" t="inlineStr">
        <is>
          <t>4.4 วัตถุดิบ supply ไม่เพียงพอ</t>
        </is>
      </c>
      <c r="F5" s="17" t="inlineStr">
        <is>
          <t>5.4 เพราะเปลี่ยน Concept ใหม่</t>
        </is>
      </c>
      <c r="G5" s="17" t="inlineStr">
        <is>
          <t xml:space="preserve">6.4 ติดข้อกำหนดโรงงาน เช่น ข้อกำหนดส่งออก GMP HACCP </t>
        </is>
      </c>
      <c r="H5" s="22" t="inlineStr">
        <is>
          <t>7.4 ทำส่งซีพีแรมลาดกะบัง ไปประกอบเป็น FG</t>
        </is>
      </c>
    </row>
    <row r="6" customFormat="1" s="27">
      <c r="A6" s="17" t="inlineStr">
        <is>
          <t>Merหรือลูกค้าขอยกเลิก</t>
        </is>
      </c>
      <c r="B6" s="17" t="inlineStr">
        <is>
          <t>1.5 ใกล้เคียงกับสินค้าที่จำหน่าย</t>
        </is>
      </c>
      <c r="C6" s="302" t="n"/>
      <c r="D6" s="302" t="n"/>
      <c r="E6" s="17" t="inlineStr">
        <is>
          <t>4.5 วัตถุดิบพบปัญหาคุณภาพ</t>
        </is>
      </c>
      <c r="F6" s="17" t="inlineStr">
        <is>
          <t>5.5 เพราะ sensory test ไม่ผ่าน</t>
        </is>
      </c>
      <c r="G6" s="17" t="inlineStr">
        <is>
          <t>6.5 เครื่องจักรที่มีในโรงงานยังไม่รองรับการผลิต</t>
        </is>
      </c>
      <c r="H6" s="22" t="inlineStr">
        <is>
          <t>7.5 ย้ายการผลิตไปลาดกะบัง</t>
        </is>
      </c>
    </row>
    <row r="7" customFormat="1" s="27">
      <c r="A7" s="17" t="inlineStr">
        <is>
          <t>CPRAMขอยกเลิก</t>
        </is>
      </c>
      <c r="B7" s="17" t="inlineStr">
        <is>
          <t>1.6 ราคาขายปลีกสูงเกินไป ไม่สามารถจำหน่ายได้ตามต้นทุน</t>
        </is>
      </c>
      <c r="C7" s="302" t="n"/>
      <c r="D7" s="302" t="n"/>
      <c r="E7" s="17" t="inlineStr">
        <is>
          <t>4.6 Mer/ลูกค้าขอยกเลิกขาย</t>
        </is>
      </c>
      <c r="F7" s="17" t="inlineStr">
        <is>
          <t>5.6 เพราะไม่สามารถหาสาขาที่จะจำหน่ายได้</t>
        </is>
      </c>
      <c r="G7" s="302" t="inlineStr">
        <is>
          <t>6.6 ติดต้นทุน</t>
        </is>
      </c>
      <c r="H7" s="303" t="inlineStr">
        <is>
          <t>7.6 ทางเมอร์มีเปลี่ยนโครงสร้างใหม่ จึงมีการปรับแผนสินค้าใหม่ด้วย</t>
        </is>
      </c>
    </row>
    <row r="8" customFormat="1" s="27">
      <c r="A8" s="17" t="inlineStr">
        <is>
          <t>อื่นๆ</t>
        </is>
      </c>
      <c r="B8" s="302" t="n"/>
      <c r="C8" s="302" t="n"/>
      <c r="D8" s="302" t="n"/>
      <c r="E8" s="302" t="n"/>
      <c r="F8" s="17" t="inlineStr">
        <is>
          <t xml:space="preserve">5.7 เพราะไม่ผ่านวง Food Committee </t>
        </is>
      </c>
      <c r="G8" s="302" t="n"/>
      <c r="H8" s="303" t="inlineStr">
        <is>
          <t>7.7 เมอร์แจ้งว่า supplier อีกรายมีสินค้าลักษณะเดียวกัน จึงไม่อยากให้ซ้ำซ้อนกัน</t>
        </is>
      </c>
    </row>
    <row r="9" customFormat="1" s="27">
      <c r="A9" s="302" t="n"/>
      <c r="B9" s="302" t="n"/>
      <c r="C9" s="302" t="n"/>
      <c r="D9" s="302" t="n"/>
      <c r="E9" s="302" t="n"/>
      <c r="F9" s="17" t="inlineStr">
        <is>
          <t>5.8 เพราะจากการสำรวจผู้บริโภคยอมรับลักษณะปรากฏหรือรสชาติเดิม</t>
        </is>
      </c>
      <c r="G9" s="302" t="n"/>
      <c r="H9" s="302" t="inlineStr">
        <is>
          <t>7.8 โรงงานไม่ผ่านเกณฑ์ข้อกำหนด Sainsburry</t>
        </is>
      </c>
    </row>
    <row r="10" customFormat="1" s="27"/>
    <row r="11" customFormat="1" s="27"/>
    <row r="12" customFormat="1" s="27"/>
    <row r="13" customFormat="1" s="27">
      <c r="A13" s="306" t="inlineStr">
        <is>
          <t>**เทคนิค คือ สาเหตุ ต้องห้ามใช้ตัวเลข ห้ามเว้นวรรค ห้ามใช้สัญลักษณ์ เช่น วงเล็บ ขีดกลาง</t>
        </is>
      </c>
    </row>
    <row r="14" customFormat="1" s="27"/>
    <row r="15" customFormat="1" s="27"/>
    <row r="16" customFormat="1" s="27"/>
    <row r="17" customFormat="1" s="27"/>
    <row r="18" customFormat="1" s="27"/>
    <row r="19" customFormat="1" s="27"/>
    <row r="20" customFormat="1" s="27"/>
    <row r="21" customFormat="1" s="27"/>
    <row r="22" customFormat="1" s="27"/>
    <row r="23" customFormat="1" s="27"/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KY50"/>
  <sheetViews>
    <sheetView zoomScale="70" zoomScaleNormal="70" workbookViewId="0">
      <pane xSplit="1" ySplit="2" topLeftCell="BT12" activePane="bottomRight" state="frozen"/>
      <selection pane="bottomRight" activeCell="A1" sqref="A1:O144"/>
      <selection pane="bottomLeft" activeCell="A1" sqref="A1:O144"/>
      <selection pane="topRight" activeCell="A1" sqref="A1:O144"/>
    </sheetView>
  </sheetViews>
  <sheetFormatPr baseColWidth="8" defaultRowHeight="14.25"/>
  <cols>
    <col width="65" bestFit="1" customWidth="1" style="29" min="1" max="1"/>
    <col width="3.875" bestFit="1" customWidth="1" style="30" min="2" max="13"/>
    <col width="6.875" bestFit="1" customWidth="1" style="31" min="14" max="14"/>
    <col width="9.125" bestFit="1" customWidth="1" style="702" min="15" max="15"/>
    <col width="3.875" bestFit="1" customWidth="1" style="30" min="16" max="27"/>
    <col width="5.875" bestFit="1" customWidth="1" style="31" min="28" max="28"/>
    <col width="8.875" bestFit="1" customWidth="1" style="31" min="29" max="29"/>
    <col width="3.875" bestFit="1" customWidth="1" style="33" min="30" max="41"/>
    <col width="5.875" bestFit="1" customWidth="1" style="702" min="42" max="42"/>
    <col width="8.875" bestFit="1" customWidth="1" style="702" min="43" max="43"/>
    <col width="3.875" bestFit="1" customWidth="1" style="30" min="44" max="55"/>
    <col width="5.875" bestFit="1" customWidth="1" style="31" min="56" max="56"/>
    <col width="8.875" bestFit="1" customWidth="1" style="31" min="57" max="57"/>
    <col width="3.875" bestFit="1" customWidth="1" style="30" min="58" max="69"/>
    <col width="5.875" bestFit="1" customWidth="1" style="31" min="70" max="70"/>
    <col width="8.875" bestFit="1" customWidth="1" style="31" min="71" max="71"/>
    <col width="3.875" bestFit="1" customWidth="1" style="30" min="72" max="83"/>
    <col width="5.875" bestFit="1" customWidth="1" style="31" min="84" max="84"/>
    <col width="9.125" bestFit="1" customWidth="1" style="31" min="85" max="85"/>
    <col width="3.875" bestFit="1" customWidth="1" style="30" min="86" max="97"/>
    <col width="5.875" bestFit="1" customWidth="1" style="31" min="98" max="98"/>
    <col width="8.875" bestFit="1" customWidth="1" style="31" min="99" max="99"/>
    <col width="3.875" bestFit="1" customWidth="1" style="33" min="100" max="111"/>
    <col width="5.875" bestFit="1" customWidth="1" style="702" min="112" max="112"/>
    <col width="8.875" bestFit="1" customWidth="1" style="702" min="113" max="113"/>
    <col width="3.875" bestFit="1" customWidth="1" style="33" min="114" max="125"/>
    <col width="5.875" bestFit="1" customWidth="1" style="702" min="126" max="126"/>
    <col width="8.875" bestFit="1" customWidth="1" style="702" min="127" max="127"/>
    <col width="3.875" bestFit="1" customWidth="1" style="33" min="128" max="139"/>
    <col width="5.875" bestFit="1" customWidth="1" style="702" min="140" max="140"/>
    <col width="8.875" bestFit="1" customWidth="1" style="702" min="141" max="141"/>
    <col width="3.875" bestFit="1" customWidth="1" style="30" min="142" max="153"/>
    <col width="5.875" bestFit="1" customWidth="1" style="31" min="154" max="154"/>
    <col width="8.875" bestFit="1" customWidth="1" style="31" min="155" max="155"/>
    <col width="3.875" bestFit="1" customWidth="1" style="30" min="156" max="167"/>
    <col width="5.875" bestFit="1" customWidth="1" style="31" min="168" max="168"/>
    <col width="8.875" bestFit="1" customWidth="1" style="31" min="169" max="169"/>
    <col width="3.875" bestFit="1" customWidth="1" style="30" min="170" max="181"/>
    <col width="5.875" bestFit="1" customWidth="1" style="31" min="182" max="182"/>
    <col width="8.875" bestFit="1" customWidth="1" style="31" min="183" max="183"/>
    <col width="3.875" bestFit="1" customWidth="1" style="30" min="184" max="195"/>
    <col width="5.875" bestFit="1" customWidth="1" style="31" min="196" max="196"/>
    <col width="8.875" bestFit="1" customWidth="1" style="31" min="197" max="197"/>
    <col width="3.875" bestFit="1" customWidth="1" style="30" min="198" max="209"/>
    <col width="5.875" bestFit="1" customWidth="1" style="31" min="210" max="210"/>
    <col width="8.875" bestFit="1" customWidth="1" style="31" min="211" max="211"/>
    <col width="3.875" bestFit="1" customWidth="1" style="30" min="212" max="223"/>
    <col width="5.875" bestFit="1" customWidth="1" style="31" min="224" max="224"/>
    <col width="8.875" bestFit="1" customWidth="1" style="31" min="225" max="225"/>
    <col width="3.875" bestFit="1" customWidth="1" style="30" min="226" max="237"/>
    <col width="5.875" bestFit="1" customWidth="1" style="31" min="238" max="238"/>
    <col width="8.875" bestFit="1" customWidth="1" style="31" min="239" max="239"/>
    <col width="3.875" bestFit="1" customWidth="1" style="30" min="240" max="251"/>
    <col width="5.875" bestFit="1" customWidth="1" style="31" min="252" max="252"/>
    <col width="8.875" bestFit="1" customWidth="1" style="31" min="253" max="253"/>
    <col width="3.875" bestFit="1" customWidth="1" style="30" min="254" max="265"/>
    <col width="5.875" bestFit="1" customWidth="1" style="31" min="266" max="266"/>
    <col width="9.125" bestFit="1" customWidth="1" style="31" min="267" max="267"/>
    <col width="3.875" bestFit="1" customWidth="1" style="30" min="268" max="279"/>
    <col width="5.875" bestFit="1" customWidth="1" style="31" min="280" max="280"/>
    <col width="9.125" bestFit="1" customWidth="1" style="31" min="281" max="281"/>
    <col width="3.875" bestFit="1" customWidth="1" style="30" min="282" max="293"/>
    <col width="5.875" bestFit="1" customWidth="1" style="31" min="294" max="294"/>
    <col width="9.125" bestFit="1" customWidth="1" style="31" min="295" max="295"/>
    <col width="3.875" bestFit="1" customWidth="1" style="30" min="296" max="307"/>
    <col width="5.875" bestFit="1" customWidth="1" style="31" min="308" max="308"/>
    <col width="8.875" bestFit="1" customWidth="1" style="31" min="309" max="309"/>
    <col width="8.875" customWidth="1" style="31" min="310" max="310"/>
  </cols>
  <sheetData>
    <row r="1" ht="15.6" customFormat="1" customHeight="1" s="10">
      <c r="A1" s="776" t="inlineStr">
        <is>
          <t>เหตุผลที่หยุดพัฒนา "ตามแผน"</t>
        </is>
      </c>
      <c r="B1" s="861" t="inlineStr">
        <is>
          <t>PMA02</t>
        </is>
      </c>
      <c r="C1" s="825" t="n"/>
      <c r="D1" s="825" t="n"/>
      <c r="E1" s="825" t="n"/>
      <c r="F1" s="825" t="n"/>
      <c r="G1" s="825" t="n"/>
      <c r="H1" s="825" t="n"/>
      <c r="I1" s="825" t="n"/>
      <c r="J1" s="825" t="n"/>
      <c r="K1" s="825" t="n"/>
      <c r="L1" s="825" t="n"/>
      <c r="M1" s="825" t="n"/>
      <c r="N1" s="825" t="n"/>
      <c r="O1" s="822" t="n"/>
      <c r="P1" s="861" t="inlineStr">
        <is>
          <t>PMA08</t>
        </is>
      </c>
      <c r="Q1" s="825" t="n"/>
      <c r="R1" s="825" t="n"/>
      <c r="S1" s="825" t="n"/>
      <c r="T1" s="825" t="n"/>
      <c r="U1" s="825" t="n"/>
      <c r="V1" s="825" t="n"/>
      <c r="W1" s="825" t="n"/>
      <c r="X1" s="825" t="n"/>
      <c r="Y1" s="825" t="n"/>
      <c r="Z1" s="825" t="n"/>
      <c r="AA1" s="825" t="n"/>
      <c r="AB1" s="825" t="n"/>
      <c r="AC1" s="822" t="n"/>
      <c r="AD1" s="861" t="inlineStr">
        <is>
          <t>PMA22 ข้าวเหนียว</t>
        </is>
      </c>
      <c r="AE1" s="825" t="n"/>
      <c r="AF1" s="825" t="n"/>
      <c r="AG1" s="825" t="n"/>
      <c r="AH1" s="825" t="n"/>
      <c r="AI1" s="825" t="n"/>
      <c r="AJ1" s="825" t="n"/>
      <c r="AK1" s="825" t="n"/>
      <c r="AL1" s="825" t="n"/>
      <c r="AM1" s="825" t="n"/>
      <c r="AN1" s="825" t="n"/>
      <c r="AO1" s="825" t="n"/>
      <c r="AP1" s="825" t="n"/>
      <c r="AQ1" s="822" t="n"/>
      <c r="AR1" s="861" t="inlineStr">
        <is>
          <t>PMA24</t>
        </is>
      </c>
      <c r="AS1" s="825" t="n"/>
      <c r="AT1" s="825" t="n"/>
      <c r="AU1" s="825" t="n"/>
      <c r="AV1" s="825" t="n"/>
      <c r="AW1" s="825" t="n"/>
      <c r="AX1" s="825" t="n"/>
      <c r="AY1" s="825" t="n"/>
      <c r="AZ1" s="825" t="n"/>
      <c r="BA1" s="825" t="n"/>
      <c r="BB1" s="825" t="n"/>
      <c r="BC1" s="825" t="n"/>
      <c r="BD1" s="825" t="n"/>
      <c r="BE1" s="822" t="n"/>
      <c r="BF1" s="861" t="inlineStr">
        <is>
          <t>PMA16</t>
        </is>
      </c>
      <c r="BG1" s="825" t="n"/>
      <c r="BH1" s="825" t="n"/>
      <c r="BI1" s="825" t="n"/>
      <c r="BJ1" s="825" t="n"/>
      <c r="BK1" s="825" t="n"/>
      <c r="BL1" s="825" t="n"/>
      <c r="BM1" s="825" t="n"/>
      <c r="BN1" s="825" t="n"/>
      <c r="BO1" s="825" t="n"/>
      <c r="BP1" s="825" t="n"/>
      <c r="BQ1" s="825" t="n"/>
      <c r="BR1" s="825" t="n"/>
      <c r="BS1" s="822" t="n"/>
      <c r="BT1" s="861" t="inlineStr">
        <is>
          <t>PMA19 ข้าวปั้น</t>
        </is>
      </c>
      <c r="BU1" s="825" t="n"/>
      <c r="BV1" s="825" t="n"/>
      <c r="BW1" s="825" t="n"/>
      <c r="BX1" s="825" t="n"/>
      <c r="BY1" s="825" t="n"/>
      <c r="BZ1" s="825" t="n"/>
      <c r="CA1" s="825" t="n"/>
      <c r="CB1" s="825" t="n"/>
      <c r="CC1" s="825" t="n"/>
      <c r="CD1" s="825" t="n"/>
      <c r="CE1" s="825" t="n"/>
      <c r="CF1" s="825" t="n"/>
      <c r="CG1" s="822" t="n"/>
      <c r="CH1" s="861" t="inlineStr">
        <is>
          <t>PMA19 chilled</t>
        </is>
      </c>
      <c r="CI1" s="825" t="n"/>
      <c r="CJ1" s="825" t="n"/>
      <c r="CK1" s="825" t="n"/>
      <c r="CL1" s="825" t="n"/>
      <c r="CM1" s="825" t="n"/>
      <c r="CN1" s="825" t="n"/>
      <c r="CO1" s="825" t="n"/>
      <c r="CP1" s="825" t="n"/>
      <c r="CQ1" s="825" t="n"/>
      <c r="CR1" s="825" t="n"/>
      <c r="CS1" s="825" t="n"/>
      <c r="CT1" s="825" t="n"/>
      <c r="CU1" s="822" t="n"/>
      <c r="CV1" s="862" t="inlineStr">
        <is>
          <t>PMA19 โครงการพิเศษ</t>
        </is>
      </c>
      <c r="CW1" s="825" t="n"/>
      <c r="CX1" s="825" t="n"/>
      <c r="CY1" s="825" t="n"/>
      <c r="CZ1" s="825" t="n"/>
      <c r="DA1" s="825" t="n"/>
      <c r="DB1" s="825" t="n"/>
      <c r="DC1" s="825" t="n"/>
      <c r="DD1" s="825" t="n"/>
      <c r="DE1" s="825" t="n"/>
      <c r="DF1" s="825" t="n"/>
      <c r="DG1" s="825" t="n"/>
      <c r="DH1" s="825" t="n"/>
      <c r="DI1" s="822" t="n"/>
      <c r="DJ1" s="861" t="inlineStr">
        <is>
          <t>PMA22 ข้าว Chilled</t>
        </is>
      </c>
      <c r="DK1" s="825" t="n"/>
      <c r="DL1" s="825" t="n"/>
      <c r="DM1" s="825" t="n"/>
      <c r="DN1" s="825" t="n"/>
      <c r="DO1" s="825" t="n"/>
      <c r="DP1" s="825" t="n"/>
      <c r="DQ1" s="825" t="n"/>
      <c r="DR1" s="825" t="n"/>
      <c r="DS1" s="825" t="n"/>
      <c r="DT1" s="825" t="n"/>
      <c r="DU1" s="825" t="n"/>
      <c r="DV1" s="825" t="n"/>
      <c r="DW1" s="822" t="n"/>
      <c r="DX1" s="861" t="inlineStr">
        <is>
          <t>PMA22 โครงการพิเศษ</t>
        </is>
      </c>
      <c r="DY1" s="825" t="n"/>
      <c r="DZ1" s="825" t="n"/>
      <c r="EA1" s="825" t="n"/>
      <c r="EB1" s="825" t="n"/>
      <c r="EC1" s="825" t="n"/>
      <c r="ED1" s="825" t="n"/>
      <c r="EE1" s="825" t="n"/>
      <c r="EF1" s="825" t="n"/>
      <c r="EG1" s="825" t="n"/>
      <c r="EH1" s="825" t="n"/>
      <c r="EI1" s="825" t="n"/>
      <c r="EJ1" s="825" t="n"/>
      <c r="EK1" s="822" t="n"/>
      <c r="EL1" s="863" t="inlineStr">
        <is>
          <t>PMA20 ข้าวFrozen</t>
        </is>
      </c>
      <c r="EM1" s="825" t="n"/>
      <c r="EN1" s="825" t="n"/>
      <c r="EO1" s="825" t="n"/>
      <c r="EP1" s="825" t="n"/>
      <c r="EQ1" s="825" t="n"/>
      <c r="ER1" s="825" t="n"/>
      <c r="ES1" s="825" t="n"/>
      <c r="ET1" s="825" t="n"/>
      <c r="EU1" s="825" t="n"/>
      <c r="EV1" s="825" t="n"/>
      <c r="EW1" s="825" t="n"/>
      <c r="EX1" s="825" t="n"/>
      <c r="EY1" s="822" t="n"/>
      <c r="EZ1" s="863" t="inlineStr">
        <is>
          <t>PMA20 เกี๊ยว</t>
        </is>
      </c>
      <c r="FA1" s="825" t="n"/>
      <c r="FB1" s="825" t="n"/>
      <c r="FC1" s="825" t="n"/>
      <c r="FD1" s="825" t="n"/>
      <c r="FE1" s="825" t="n"/>
      <c r="FF1" s="825" t="n"/>
      <c r="FG1" s="825" t="n"/>
      <c r="FH1" s="825" t="n"/>
      <c r="FI1" s="825" t="n"/>
      <c r="FJ1" s="825" t="n"/>
      <c r="FK1" s="825" t="n"/>
      <c r="FL1" s="825" t="n"/>
      <c r="FM1" s="822" t="n"/>
      <c r="FN1" s="863" t="inlineStr">
        <is>
          <t>PMA20 ทอด</t>
        </is>
      </c>
      <c r="FO1" s="825" t="n"/>
      <c r="FP1" s="825" t="n"/>
      <c r="FQ1" s="825" t="n"/>
      <c r="FR1" s="825" t="n"/>
      <c r="FS1" s="825" t="n"/>
      <c r="FT1" s="825" t="n"/>
      <c r="FU1" s="825" t="n"/>
      <c r="FV1" s="825" t="n"/>
      <c r="FW1" s="825" t="n"/>
      <c r="FX1" s="825" t="n"/>
      <c r="FY1" s="825" t="n"/>
      <c r="FZ1" s="825" t="n"/>
      <c r="GA1" s="822" t="n"/>
      <c r="GB1" s="863" t="inlineStr">
        <is>
          <t>PMA06 ทอด</t>
        </is>
      </c>
      <c r="GC1" s="825" t="n"/>
      <c r="GD1" s="825" t="n"/>
      <c r="GE1" s="825" t="n"/>
      <c r="GF1" s="825" t="n"/>
      <c r="GG1" s="825" t="n"/>
      <c r="GH1" s="825" t="n"/>
      <c r="GI1" s="825" t="n"/>
      <c r="GJ1" s="825" t="n"/>
      <c r="GK1" s="825" t="n"/>
      <c r="GL1" s="825" t="n"/>
      <c r="GM1" s="825" t="n"/>
      <c r="GN1" s="825" t="n"/>
      <c r="GO1" s="822" t="n"/>
      <c r="GP1" s="863" t="inlineStr">
        <is>
          <t xml:space="preserve">PMA06 โครงการพิเศษ </t>
        </is>
      </c>
      <c r="GQ1" s="825" t="n"/>
      <c r="GR1" s="825" t="n"/>
      <c r="GS1" s="825" t="n"/>
      <c r="GT1" s="825" t="n"/>
      <c r="GU1" s="825" t="n"/>
      <c r="GV1" s="825" t="n"/>
      <c r="GW1" s="825" t="n"/>
      <c r="GX1" s="825" t="n"/>
      <c r="GY1" s="825" t="n"/>
      <c r="GZ1" s="825" t="n"/>
      <c r="HA1" s="825" t="n"/>
      <c r="HB1" s="825" t="n"/>
      <c r="HC1" s="822" t="n"/>
      <c r="HD1" s="863" t="inlineStr">
        <is>
          <t xml:space="preserve">PMA76 โครงการพิเศษ </t>
        </is>
      </c>
      <c r="HE1" s="825" t="n"/>
      <c r="HF1" s="825" t="n"/>
      <c r="HG1" s="825" t="n"/>
      <c r="HH1" s="825" t="n"/>
      <c r="HI1" s="825" t="n"/>
      <c r="HJ1" s="825" t="n"/>
      <c r="HK1" s="825" t="n"/>
      <c r="HL1" s="825" t="n"/>
      <c r="HM1" s="825" t="n"/>
      <c r="HN1" s="825" t="n"/>
      <c r="HO1" s="825" t="n"/>
      <c r="HP1" s="825" t="n"/>
      <c r="HQ1" s="822" t="n"/>
      <c r="HR1" s="863" t="inlineStr">
        <is>
          <t xml:space="preserve">non 7-11 โครงการพิเศษ </t>
        </is>
      </c>
      <c r="HS1" s="825" t="n"/>
      <c r="HT1" s="825" t="n"/>
      <c r="HU1" s="825" t="n"/>
      <c r="HV1" s="825" t="n"/>
      <c r="HW1" s="825" t="n"/>
      <c r="HX1" s="825" t="n"/>
      <c r="HY1" s="825" t="n"/>
      <c r="HZ1" s="825" t="n"/>
      <c r="IA1" s="825" t="n"/>
      <c r="IB1" s="825" t="n"/>
      <c r="IC1" s="825" t="n"/>
      <c r="ID1" s="825" t="n"/>
      <c r="IE1" s="822" t="n"/>
      <c r="IF1" s="864" t="inlineStr">
        <is>
          <t>ติ่มซำ non-7 ในประเทศ</t>
        </is>
      </c>
      <c r="IG1" s="825" t="n"/>
      <c r="IH1" s="825" t="n"/>
      <c r="II1" s="825" t="n"/>
      <c r="IJ1" s="825" t="n"/>
      <c r="IK1" s="825" t="n"/>
      <c r="IL1" s="825" t="n"/>
      <c r="IM1" s="825" t="n"/>
      <c r="IN1" s="825" t="n"/>
      <c r="IO1" s="825" t="n"/>
      <c r="IP1" s="825" t="n"/>
      <c r="IQ1" s="825" t="n"/>
      <c r="IR1" s="825" t="n"/>
      <c r="IS1" s="822" t="n"/>
      <c r="IT1" s="861" t="inlineStr">
        <is>
          <t>ส่งออก โครงการพิเศษ</t>
        </is>
      </c>
      <c r="IU1" s="825" t="n"/>
      <c r="IV1" s="825" t="n"/>
      <c r="IW1" s="825" t="n"/>
      <c r="IX1" s="825" t="n"/>
      <c r="IY1" s="825" t="n"/>
      <c r="IZ1" s="825" t="n"/>
      <c r="JA1" s="825" t="n"/>
      <c r="JB1" s="825" t="n"/>
      <c r="JC1" s="825" t="n"/>
      <c r="JD1" s="825" t="n"/>
      <c r="JE1" s="825" t="n"/>
      <c r="JF1" s="825" t="n"/>
      <c r="JG1" s="822" t="n"/>
      <c r="JH1" s="861" t="inlineStr">
        <is>
          <t>ส่่งออก ทีมข้าวFrozen</t>
        </is>
      </c>
      <c r="JI1" s="825" t="n"/>
      <c r="JJ1" s="825" t="n"/>
      <c r="JK1" s="825" t="n"/>
      <c r="JL1" s="825" t="n"/>
      <c r="JM1" s="825" t="n"/>
      <c r="JN1" s="825" t="n"/>
      <c r="JO1" s="825" t="n"/>
      <c r="JP1" s="825" t="n"/>
      <c r="JQ1" s="825" t="n"/>
      <c r="JR1" s="825" t="n"/>
      <c r="JS1" s="825" t="n"/>
      <c r="JT1" s="825" t="n"/>
      <c r="JU1" s="822" t="n"/>
      <c r="JV1" s="861" t="inlineStr">
        <is>
          <t>ติ่มซำส่งออก</t>
        </is>
      </c>
      <c r="JW1" s="825" t="n"/>
      <c r="JX1" s="825" t="n"/>
      <c r="JY1" s="825" t="n"/>
      <c r="JZ1" s="825" t="n"/>
      <c r="KA1" s="825" t="n"/>
      <c r="KB1" s="825" t="n"/>
      <c r="KC1" s="825" t="n"/>
      <c r="KD1" s="825" t="n"/>
      <c r="KE1" s="825" t="n"/>
      <c r="KF1" s="825" t="n"/>
      <c r="KG1" s="825" t="n"/>
      <c r="KH1" s="825" t="n"/>
      <c r="KI1" s="822" t="n"/>
      <c r="KJ1" s="861" t="inlineStr">
        <is>
          <t>Snack ส่งออก</t>
        </is>
      </c>
      <c r="KK1" s="825" t="n"/>
      <c r="KL1" s="825" t="n"/>
      <c r="KM1" s="825" t="n"/>
      <c r="KN1" s="825" t="n"/>
      <c r="KO1" s="825" t="n"/>
      <c r="KP1" s="825" t="n"/>
      <c r="KQ1" s="825" t="n"/>
      <c r="KR1" s="825" t="n"/>
      <c r="KS1" s="825" t="n"/>
      <c r="KT1" s="825" t="n"/>
      <c r="KU1" s="825" t="n"/>
      <c r="KV1" s="825" t="n"/>
      <c r="KW1" s="822" t="n"/>
      <c r="KX1" s="783" t="inlineStr">
        <is>
          <t>Total</t>
        </is>
      </c>
      <c r="KY1" s="822" t="n"/>
    </row>
    <row r="2" ht="17.1" customFormat="1" customHeight="1" s="11">
      <c r="A2" s="841" t="n"/>
      <c r="B2" s="34" t="inlineStr">
        <is>
          <t>Jan</t>
        </is>
      </c>
      <c r="C2" s="34" t="inlineStr">
        <is>
          <t>Feb</t>
        </is>
      </c>
      <c r="D2" s="34" t="inlineStr">
        <is>
          <t>Mar</t>
        </is>
      </c>
      <c r="E2" s="34" t="inlineStr">
        <is>
          <t>Apr</t>
        </is>
      </c>
      <c r="F2" s="34" t="inlineStr">
        <is>
          <t>May</t>
        </is>
      </c>
      <c r="G2" s="34" t="inlineStr">
        <is>
          <t>Jun</t>
        </is>
      </c>
      <c r="H2" s="34" t="inlineStr">
        <is>
          <t>Jul</t>
        </is>
      </c>
      <c r="I2" s="34" t="inlineStr">
        <is>
          <t>Aug</t>
        </is>
      </c>
      <c r="J2" s="34" t="inlineStr">
        <is>
          <t>Sep</t>
        </is>
      </c>
      <c r="K2" s="34" t="inlineStr">
        <is>
          <t>Oct</t>
        </is>
      </c>
      <c r="L2" s="34" t="inlineStr">
        <is>
          <t>Nov</t>
        </is>
      </c>
      <c r="M2" s="34" t="inlineStr">
        <is>
          <t>Dec</t>
        </is>
      </c>
      <c r="N2" s="34" t="inlineStr">
        <is>
          <t>Total</t>
        </is>
      </c>
      <c r="O2" s="34" t="inlineStr">
        <is>
          <t>%</t>
        </is>
      </c>
      <c r="P2" s="34" t="inlineStr">
        <is>
          <t>Jan</t>
        </is>
      </c>
      <c r="Q2" s="34" t="inlineStr">
        <is>
          <t>Feb</t>
        </is>
      </c>
      <c r="R2" s="34" t="inlineStr">
        <is>
          <t>Mar</t>
        </is>
      </c>
      <c r="S2" s="34" t="inlineStr">
        <is>
          <t>Apr</t>
        </is>
      </c>
      <c r="T2" s="34" t="inlineStr">
        <is>
          <t>May</t>
        </is>
      </c>
      <c r="U2" s="34" t="inlineStr">
        <is>
          <t>Jun</t>
        </is>
      </c>
      <c r="V2" s="34" t="inlineStr">
        <is>
          <t>Jul</t>
        </is>
      </c>
      <c r="W2" s="34" t="inlineStr">
        <is>
          <t>Aug</t>
        </is>
      </c>
      <c r="X2" s="34" t="inlineStr">
        <is>
          <t>Sep</t>
        </is>
      </c>
      <c r="Y2" s="34" t="inlineStr">
        <is>
          <t>Oct</t>
        </is>
      </c>
      <c r="Z2" s="34" t="inlineStr">
        <is>
          <t>Nov</t>
        </is>
      </c>
      <c r="AA2" s="34" t="inlineStr">
        <is>
          <t>Dec</t>
        </is>
      </c>
      <c r="AB2" s="34" t="inlineStr">
        <is>
          <t>Total</t>
        </is>
      </c>
      <c r="AC2" s="34" t="inlineStr">
        <is>
          <t>%</t>
        </is>
      </c>
      <c r="AD2" s="34" t="inlineStr">
        <is>
          <t>Jan</t>
        </is>
      </c>
      <c r="AE2" s="34" t="inlineStr">
        <is>
          <t>Feb</t>
        </is>
      </c>
      <c r="AF2" s="34" t="inlineStr">
        <is>
          <t>Mar</t>
        </is>
      </c>
      <c r="AG2" s="34" t="inlineStr">
        <is>
          <t>Apr</t>
        </is>
      </c>
      <c r="AH2" s="34" t="inlineStr">
        <is>
          <t>May</t>
        </is>
      </c>
      <c r="AI2" s="34" t="inlineStr">
        <is>
          <t>Jun</t>
        </is>
      </c>
      <c r="AJ2" s="34" t="inlineStr">
        <is>
          <t>Jul</t>
        </is>
      </c>
      <c r="AK2" s="34" t="inlineStr">
        <is>
          <t>Aug</t>
        </is>
      </c>
      <c r="AL2" s="34" t="inlineStr">
        <is>
          <t>Sep</t>
        </is>
      </c>
      <c r="AM2" s="34" t="inlineStr">
        <is>
          <t>Oct</t>
        </is>
      </c>
      <c r="AN2" s="34" t="inlineStr">
        <is>
          <t>Nov</t>
        </is>
      </c>
      <c r="AO2" s="34" t="inlineStr">
        <is>
          <t>Dec</t>
        </is>
      </c>
      <c r="AP2" s="34" t="inlineStr">
        <is>
          <t>Total</t>
        </is>
      </c>
      <c r="AQ2" s="34" t="inlineStr">
        <is>
          <t>%</t>
        </is>
      </c>
      <c r="AR2" s="34" t="inlineStr">
        <is>
          <t>Jan</t>
        </is>
      </c>
      <c r="AS2" s="34" t="inlineStr">
        <is>
          <t>Feb</t>
        </is>
      </c>
      <c r="AT2" s="34" t="inlineStr">
        <is>
          <t>Mar</t>
        </is>
      </c>
      <c r="AU2" s="34" t="inlineStr">
        <is>
          <t>Apr</t>
        </is>
      </c>
      <c r="AV2" s="34" t="inlineStr">
        <is>
          <t>May</t>
        </is>
      </c>
      <c r="AW2" s="34" t="inlineStr">
        <is>
          <t>Jun</t>
        </is>
      </c>
      <c r="AX2" s="34" t="inlineStr">
        <is>
          <t>Jul</t>
        </is>
      </c>
      <c r="AY2" s="34" t="inlineStr">
        <is>
          <t>Aug</t>
        </is>
      </c>
      <c r="AZ2" s="34" t="inlineStr">
        <is>
          <t>Sep</t>
        </is>
      </c>
      <c r="BA2" s="34" t="inlineStr">
        <is>
          <t>Oct</t>
        </is>
      </c>
      <c r="BB2" s="34" t="inlineStr">
        <is>
          <t>Nov</t>
        </is>
      </c>
      <c r="BC2" s="34" t="inlineStr">
        <is>
          <t>Dec</t>
        </is>
      </c>
      <c r="BD2" s="34" t="inlineStr">
        <is>
          <t>Total</t>
        </is>
      </c>
      <c r="BE2" s="34" t="inlineStr">
        <is>
          <t>%</t>
        </is>
      </c>
      <c r="BF2" s="34" t="inlineStr">
        <is>
          <t>Jan</t>
        </is>
      </c>
      <c r="BG2" s="34" t="inlineStr">
        <is>
          <t>Feb</t>
        </is>
      </c>
      <c r="BH2" s="34" t="inlineStr">
        <is>
          <t>Mar</t>
        </is>
      </c>
      <c r="BI2" s="34" t="inlineStr">
        <is>
          <t>Apr</t>
        </is>
      </c>
      <c r="BJ2" s="34" t="inlineStr">
        <is>
          <t>May</t>
        </is>
      </c>
      <c r="BK2" s="34" t="inlineStr">
        <is>
          <t>Jun</t>
        </is>
      </c>
      <c r="BL2" s="34" t="inlineStr">
        <is>
          <t>Jul</t>
        </is>
      </c>
      <c r="BM2" s="34" t="inlineStr">
        <is>
          <t>Aug</t>
        </is>
      </c>
      <c r="BN2" s="34" t="inlineStr">
        <is>
          <t>Sep</t>
        </is>
      </c>
      <c r="BO2" s="34" t="inlineStr">
        <is>
          <t>Oct</t>
        </is>
      </c>
      <c r="BP2" s="34" t="inlineStr">
        <is>
          <t>Nov</t>
        </is>
      </c>
      <c r="BQ2" s="34" t="inlineStr">
        <is>
          <t>Dec</t>
        </is>
      </c>
      <c r="BR2" s="34" t="inlineStr">
        <is>
          <t>Total</t>
        </is>
      </c>
      <c r="BS2" s="34" t="inlineStr">
        <is>
          <t>%</t>
        </is>
      </c>
      <c r="BT2" s="34" t="inlineStr">
        <is>
          <t>Jan</t>
        </is>
      </c>
      <c r="BU2" s="34" t="inlineStr">
        <is>
          <t>Feb</t>
        </is>
      </c>
      <c r="BV2" s="34" t="inlineStr">
        <is>
          <t>Mar</t>
        </is>
      </c>
      <c r="BW2" s="34" t="inlineStr">
        <is>
          <t>Apr</t>
        </is>
      </c>
      <c r="BX2" s="34" t="inlineStr">
        <is>
          <t>May</t>
        </is>
      </c>
      <c r="BY2" s="34" t="inlineStr">
        <is>
          <t>Jun</t>
        </is>
      </c>
      <c r="BZ2" s="34" t="inlineStr">
        <is>
          <t>Jul</t>
        </is>
      </c>
      <c r="CA2" s="34" t="inlineStr">
        <is>
          <t>Aug</t>
        </is>
      </c>
      <c r="CB2" s="34" t="inlineStr">
        <is>
          <t>Sep</t>
        </is>
      </c>
      <c r="CC2" s="34" t="inlineStr">
        <is>
          <t>Oct</t>
        </is>
      </c>
      <c r="CD2" s="34" t="inlineStr">
        <is>
          <t>Nov</t>
        </is>
      </c>
      <c r="CE2" s="34" t="inlineStr">
        <is>
          <t>Dec</t>
        </is>
      </c>
      <c r="CF2" s="34" t="inlineStr">
        <is>
          <t>Total</t>
        </is>
      </c>
      <c r="CG2" s="34" t="inlineStr">
        <is>
          <t>%</t>
        </is>
      </c>
      <c r="CH2" s="34" t="inlineStr">
        <is>
          <t>Jan</t>
        </is>
      </c>
      <c r="CI2" s="34" t="inlineStr">
        <is>
          <t>Feb</t>
        </is>
      </c>
      <c r="CJ2" s="34" t="inlineStr">
        <is>
          <t>Mar</t>
        </is>
      </c>
      <c r="CK2" s="34" t="inlineStr">
        <is>
          <t>Apr</t>
        </is>
      </c>
      <c r="CL2" s="34" t="inlineStr">
        <is>
          <t>May</t>
        </is>
      </c>
      <c r="CM2" s="34" t="inlineStr">
        <is>
          <t>Jun</t>
        </is>
      </c>
      <c r="CN2" s="34" t="inlineStr">
        <is>
          <t>Jul</t>
        </is>
      </c>
      <c r="CO2" s="34" t="inlineStr">
        <is>
          <t>Aug</t>
        </is>
      </c>
      <c r="CP2" s="34" t="inlineStr">
        <is>
          <t>Sep</t>
        </is>
      </c>
      <c r="CQ2" s="34" t="inlineStr">
        <is>
          <t>Oct</t>
        </is>
      </c>
      <c r="CR2" s="34" t="inlineStr">
        <is>
          <t>Nov</t>
        </is>
      </c>
      <c r="CS2" s="34" t="inlineStr">
        <is>
          <t>Dec</t>
        </is>
      </c>
      <c r="CT2" s="34" t="inlineStr">
        <is>
          <t>Total</t>
        </is>
      </c>
      <c r="CU2" s="34" t="inlineStr">
        <is>
          <t>%</t>
        </is>
      </c>
      <c r="CV2" s="86" t="inlineStr">
        <is>
          <t>Jan</t>
        </is>
      </c>
      <c r="CW2" s="86" t="inlineStr">
        <is>
          <t>Feb</t>
        </is>
      </c>
      <c r="CX2" s="86" t="inlineStr">
        <is>
          <t>Mar</t>
        </is>
      </c>
      <c r="CY2" s="86" t="inlineStr">
        <is>
          <t>Apr</t>
        </is>
      </c>
      <c r="CZ2" s="86" t="inlineStr">
        <is>
          <t>May</t>
        </is>
      </c>
      <c r="DA2" s="86" t="inlineStr">
        <is>
          <t>Jun</t>
        </is>
      </c>
      <c r="DB2" s="86" t="inlineStr">
        <is>
          <t>Jul</t>
        </is>
      </c>
      <c r="DC2" s="86" t="inlineStr">
        <is>
          <t>Aug</t>
        </is>
      </c>
      <c r="DD2" s="86" t="inlineStr">
        <is>
          <t>Sep</t>
        </is>
      </c>
      <c r="DE2" s="86" t="inlineStr">
        <is>
          <t>Oct</t>
        </is>
      </c>
      <c r="DF2" s="86" t="inlineStr">
        <is>
          <t>Nov</t>
        </is>
      </c>
      <c r="DG2" s="86" t="inlineStr">
        <is>
          <t>Dec</t>
        </is>
      </c>
      <c r="DH2" s="86" t="inlineStr">
        <is>
          <t>Total</t>
        </is>
      </c>
      <c r="DI2" s="86" t="inlineStr">
        <is>
          <t>%</t>
        </is>
      </c>
      <c r="DJ2" s="34" t="inlineStr">
        <is>
          <t>Jan</t>
        </is>
      </c>
      <c r="DK2" s="34" t="inlineStr">
        <is>
          <t>Feb</t>
        </is>
      </c>
      <c r="DL2" s="34" t="inlineStr">
        <is>
          <t>Mar</t>
        </is>
      </c>
      <c r="DM2" s="34" t="inlineStr">
        <is>
          <t>Apr</t>
        </is>
      </c>
      <c r="DN2" s="34" t="inlineStr">
        <is>
          <t>May</t>
        </is>
      </c>
      <c r="DO2" s="34" t="inlineStr">
        <is>
          <t>Jun</t>
        </is>
      </c>
      <c r="DP2" s="34" t="inlineStr">
        <is>
          <t>Jul</t>
        </is>
      </c>
      <c r="DQ2" s="34" t="inlineStr">
        <is>
          <t>Aug</t>
        </is>
      </c>
      <c r="DR2" s="34" t="inlineStr">
        <is>
          <t>Sep</t>
        </is>
      </c>
      <c r="DS2" s="34" t="inlineStr">
        <is>
          <t>Oct</t>
        </is>
      </c>
      <c r="DT2" s="34" t="inlineStr">
        <is>
          <t>Nov</t>
        </is>
      </c>
      <c r="DU2" s="34" t="inlineStr">
        <is>
          <t>Dec</t>
        </is>
      </c>
      <c r="DV2" s="34" t="inlineStr">
        <is>
          <t>Total</t>
        </is>
      </c>
      <c r="DW2" s="34" t="inlineStr">
        <is>
          <t>%</t>
        </is>
      </c>
      <c r="DX2" s="34" t="inlineStr">
        <is>
          <t>Jan</t>
        </is>
      </c>
      <c r="DY2" s="34" t="inlineStr">
        <is>
          <t>Feb</t>
        </is>
      </c>
      <c r="DZ2" s="34" t="inlineStr">
        <is>
          <t>Mar</t>
        </is>
      </c>
      <c r="EA2" s="34" t="inlineStr">
        <is>
          <t>Apr</t>
        </is>
      </c>
      <c r="EB2" s="34" t="inlineStr">
        <is>
          <t>May</t>
        </is>
      </c>
      <c r="EC2" s="34" t="inlineStr">
        <is>
          <t>Jun</t>
        </is>
      </c>
      <c r="ED2" s="34" t="inlineStr">
        <is>
          <t>Jul</t>
        </is>
      </c>
      <c r="EE2" s="34" t="inlineStr">
        <is>
          <t>Aug</t>
        </is>
      </c>
      <c r="EF2" s="34" t="inlineStr">
        <is>
          <t>Sep</t>
        </is>
      </c>
      <c r="EG2" s="34" t="inlineStr">
        <is>
          <t>Oct</t>
        </is>
      </c>
      <c r="EH2" s="34" t="inlineStr">
        <is>
          <t>Nov</t>
        </is>
      </c>
      <c r="EI2" s="34" t="inlineStr">
        <is>
          <t>Dec</t>
        </is>
      </c>
      <c r="EJ2" s="34" t="inlineStr">
        <is>
          <t>Total</t>
        </is>
      </c>
      <c r="EK2" s="34" t="inlineStr">
        <is>
          <t>%</t>
        </is>
      </c>
      <c r="EL2" s="34" t="inlineStr">
        <is>
          <t>Jan</t>
        </is>
      </c>
      <c r="EM2" s="34" t="inlineStr">
        <is>
          <t>Feb</t>
        </is>
      </c>
      <c r="EN2" s="34" t="inlineStr">
        <is>
          <t>Mar</t>
        </is>
      </c>
      <c r="EO2" s="34" t="inlineStr">
        <is>
          <t>Apr</t>
        </is>
      </c>
      <c r="EP2" s="34" t="inlineStr">
        <is>
          <t>May</t>
        </is>
      </c>
      <c r="EQ2" s="34" t="inlineStr">
        <is>
          <t>Jun</t>
        </is>
      </c>
      <c r="ER2" s="34" t="inlineStr">
        <is>
          <t>Jul</t>
        </is>
      </c>
      <c r="ES2" s="34" t="inlineStr">
        <is>
          <t>Aug</t>
        </is>
      </c>
      <c r="ET2" s="34" t="inlineStr">
        <is>
          <t>Sep</t>
        </is>
      </c>
      <c r="EU2" s="34" t="inlineStr">
        <is>
          <t>Oct</t>
        </is>
      </c>
      <c r="EV2" s="34" t="inlineStr">
        <is>
          <t>Nov</t>
        </is>
      </c>
      <c r="EW2" s="34" t="inlineStr">
        <is>
          <t>Dec</t>
        </is>
      </c>
      <c r="EX2" s="34" t="inlineStr">
        <is>
          <t>Total</t>
        </is>
      </c>
      <c r="EY2" s="34" t="inlineStr">
        <is>
          <t>%</t>
        </is>
      </c>
      <c r="EZ2" s="34" t="inlineStr">
        <is>
          <t>Jan</t>
        </is>
      </c>
      <c r="FA2" s="34" t="inlineStr">
        <is>
          <t>Feb</t>
        </is>
      </c>
      <c r="FB2" s="34" t="inlineStr">
        <is>
          <t>Mar</t>
        </is>
      </c>
      <c r="FC2" s="34" t="inlineStr">
        <is>
          <t>Apr</t>
        </is>
      </c>
      <c r="FD2" s="34" t="inlineStr">
        <is>
          <t>May</t>
        </is>
      </c>
      <c r="FE2" s="34" t="inlineStr">
        <is>
          <t>Jun</t>
        </is>
      </c>
      <c r="FF2" s="34" t="inlineStr">
        <is>
          <t>Jul</t>
        </is>
      </c>
      <c r="FG2" s="34" t="inlineStr">
        <is>
          <t>Aug</t>
        </is>
      </c>
      <c r="FH2" s="34" t="inlineStr">
        <is>
          <t>Sep</t>
        </is>
      </c>
      <c r="FI2" s="34" t="inlineStr">
        <is>
          <t>Oct</t>
        </is>
      </c>
      <c r="FJ2" s="34" t="inlineStr">
        <is>
          <t>Nov</t>
        </is>
      </c>
      <c r="FK2" s="34" t="inlineStr">
        <is>
          <t>Dec</t>
        </is>
      </c>
      <c r="FL2" s="34" t="inlineStr">
        <is>
          <t>Total</t>
        </is>
      </c>
      <c r="FM2" s="34" t="inlineStr">
        <is>
          <t>%</t>
        </is>
      </c>
      <c r="FN2" s="34" t="inlineStr">
        <is>
          <t>Jan</t>
        </is>
      </c>
      <c r="FO2" s="34" t="inlineStr">
        <is>
          <t>Feb</t>
        </is>
      </c>
      <c r="FP2" s="34" t="inlineStr">
        <is>
          <t>Mar</t>
        </is>
      </c>
      <c r="FQ2" s="34" t="inlineStr">
        <is>
          <t>Apr</t>
        </is>
      </c>
      <c r="FR2" s="34" t="inlineStr">
        <is>
          <t>May</t>
        </is>
      </c>
      <c r="FS2" s="34" t="inlineStr">
        <is>
          <t>Jun</t>
        </is>
      </c>
      <c r="FT2" s="34" t="inlineStr">
        <is>
          <t>Jul</t>
        </is>
      </c>
      <c r="FU2" s="34" t="inlineStr">
        <is>
          <t>Aug</t>
        </is>
      </c>
      <c r="FV2" s="34" t="inlineStr">
        <is>
          <t>Sep</t>
        </is>
      </c>
      <c r="FW2" s="34" t="inlineStr">
        <is>
          <t>Oct</t>
        </is>
      </c>
      <c r="FX2" s="34" t="inlineStr">
        <is>
          <t>Nov</t>
        </is>
      </c>
      <c r="FY2" s="34" t="inlineStr">
        <is>
          <t>Dec</t>
        </is>
      </c>
      <c r="FZ2" s="34" t="inlineStr">
        <is>
          <t>Total</t>
        </is>
      </c>
      <c r="GA2" s="34" t="inlineStr">
        <is>
          <t>%</t>
        </is>
      </c>
      <c r="GB2" s="34" t="inlineStr">
        <is>
          <t>Jan</t>
        </is>
      </c>
      <c r="GC2" s="34" t="inlineStr">
        <is>
          <t>Feb</t>
        </is>
      </c>
      <c r="GD2" s="34" t="inlineStr">
        <is>
          <t>Mar</t>
        </is>
      </c>
      <c r="GE2" s="34" t="inlineStr">
        <is>
          <t>Apr</t>
        </is>
      </c>
      <c r="GF2" s="34" t="inlineStr">
        <is>
          <t>May</t>
        </is>
      </c>
      <c r="GG2" s="34" t="inlineStr">
        <is>
          <t>Jun</t>
        </is>
      </c>
      <c r="GH2" s="34" t="inlineStr">
        <is>
          <t>Jul</t>
        </is>
      </c>
      <c r="GI2" s="34" t="inlineStr">
        <is>
          <t>Aug</t>
        </is>
      </c>
      <c r="GJ2" s="34" t="inlineStr">
        <is>
          <t>Sep</t>
        </is>
      </c>
      <c r="GK2" s="34" t="inlineStr">
        <is>
          <t>Oct</t>
        </is>
      </c>
      <c r="GL2" s="34" t="inlineStr">
        <is>
          <t>Nov</t>
        </is>
      </c>
      <c r="GM2" s="34" t="inlineStr">
        <is>
          <t>Dec</t>
        </is>
      </c>
      <c r="GN2" s="34" t="inlineStr">
        <is>
          <t>Total</t>
        </is>
      </c>
      <c r="GO2" s="34" t="inlineStr">
        <is>
          <t>%</t>
        </is>
      </c>
      <c r="GP2" s="34" t="inlineStr">
        <is>
          <t>Jan</t>
        </is>
      </c>
      <c r="GQ2" s="34" t="inlineStr">
        <is>
          <t>Feb</t>
        </is>
      </c>
      <c r="GR2" s="34" t="inlineStr">
        <is>
          <t>Mar</t>
        </is>
      </c>
      <c r="GS2" s="34" t="inlineStr">
        <is>
          <t>Apr</t>
        </is>
      </c>
      <c r="GT2" s="34" t="inlineStr">
        <is>
          <t>May</t>
        </is>
      </c>
      <c r="GU2" s="34" t="inlineStr">
        <is>
          <t>Jun</t>
        </is>
      </c>
      <c r="GV2" s="34" t="inlineStr">
        <is>
          <t>Jul</t>
        </is>
      </c>
      <c r="GW2" s="34" t="inlineStr">
        <is>
          <t>Aug</t>
        </is>
      </c>
      <c r="GX2" s="34" t="inlineStr">
        <is>
          <t>Sep</t>
        </is>
      </c>
      <c r="GY2" s="34" t="inlineStr">
        <is>
          <t>Oct</t>
        </is>
      </c>
      <c r="GZ2" s="34" t="inlineStr">
        <is>
          <t>Nov</t>
        </is>
      </c>
      <c r="HA2" s="34" t="inlineStr">
        <is>
          <t>Dec</t>
        </is>
      </c>
      <c r="HB2" s="34" t="inlineStr">
        <is>
          <t>Total</t>
        </is>
      </c>
      <c r="HC2" s="34" t="inlineStr">
        <is>
          <t>%</t>
        </is>
      </c>
      <c r="HD2" s="34" t="inlineStr">
        <is>
          <t>Jan</t>
        </is>
      </c>
      <c r="HE2" s="34" t="inlineStr">
        <is>
          <t>Feb</t>
        </is>
      </c>
      <c r="HF2" s="34" t="inlineStr">
        <is>
          <t>Mar</t>
        </is>
      </c>
      <c r="HG2" s="34" t="inlineStr">
        <is>
          <t>Apr</t>
        </is>
      </c>
      <c r="HH2" s="34" t="inlineStr">
        <is>
          <t>May</t>
        </is>
      </c>
      <c r="HI2" s="34" t="inlineStr">
        <is>
          <t>Jun</t>
        </is>
      </c>
      <c r="HJ2" s="34" t="inlineStr">
        <is>
          <t>Jul</t>
        </is>
      </c>
      <c r="HK2" s="34" t="inlineStr">
        <is>
          <t>Aug</t>
        </is>
      </c>
      <c r="HL2" s="34" t="inlineStr">
        <is>
          <t>Sep</t>
        </is>
      </c>
      <c r="HM2" s="34" t="inlineStr">
        <is>
          <t>Oct</t>
        </is>
      </c>
      <c r="HN2" s="34" t="inlineStr">
        <is>
          <t>Nov</t>
        </is>
      </c>
      <c r="HO2" s="34" t="inlineStr">
        <is>
          <t>Dec</t>
        </is>
      </c>
      <c r="HP2" s="34" t="inlineStr">
        <is>
          <t>Total</t>
        </is>
      </c>
      <c r="HQ2" s="34" t="inlineStr">
        <is>
          <t>%</t>
        </is>
      </c>
      <c r="HR2" s="34" t="inlineStr">
        <is>
          <t>Jan</t>
        </is>
      </c>
      <c r="HS2" s="34" t="inlineStr">
        <is>
          <t>Feb</t>
        </is>
      </c>
      <c r="HT2" s="34" t="inlineStr">
        <is>
          <t>Mar</t>
        </is>
      </c>
      <c r="HU2" s="34" t="inlineStr">
        <is>
          <t>Apr</t>
        </is>
      </c>
      <c r="HV2" s="34" t="inlineStr">
        <is>
          <t>May</t>
        </is>
      </c>
      <c r="HW2" s="34" t="inlineStr">
        <is>
          <t>Jun</t>
        </is>
      </c>
      <c r="HX2" s="34" t="inlineStr">
        <is>
          <t>Jul</t>
        </is>
      </c>
      <c r="HY2" s="34" t="inlineStr">
        <is>
          <t>Aug</t>
        </is>
      </c>
      <c r="HZ2" s="34" t="inlineStr">
        <is>
          <t>Sep</t>
        </is>
      </c>
      <c r="IA2" s="34" t="inlineStr">
        <is>
          <t>Oct</t>
        </is>
      </c>
      <c r="IB2" s="34" t="inlineStr">
        <is>
          <t>Nov</t>
        </is>
      </c>
      <c r="IC2" s="34" t="inlineStr">
        <is>
          <t>Dec</t>
        </is>
      </c>
      <c r="ID2" s="34" t="inlineStr">
        <is>
          <t>Total</t>
        </is>
      </c>
      <c r="IE2" s="34" t="inlineStr">
        <is>
          <t>%</t>
        </is>
      </c>
      <c r="IF2" s="34" t="inlineStr">
        <is>
          <t>Jan</t>
        </is>
      </c>
      <c r="IG2" s="34" t="inlineStr">
        <is>
          <t>Feb</t>
        </is>
      </c>
      <c r="IH2" s="34" t="inlineStr">
        <is>
          <t>Mar</t>
        </is>
      </c>
      <c r="II2" s="34" t="inlineStr">
        <is>
          <t>Apr</t>
        </is>
      </c>
      <c r="IJ2" s="34" t="inlineStr">
        <is>
          <t>May</t>
        </is>
      </c>
      <c r="IK2" s="34" t="inlineStr">
        <is>
          <t>Jun</t>
        </is>
      </c>
      <c r="IL2" s="34" t="inlineStr">
        <is>
          <t>Jul</t>
        </is>
      </c>
      <c r="IM2" s="34" t="inlineStr">
        <is>
          <t>Aug</t>
        </is>
      </c>
      <c r="IN2" s="34" t="inlineStr">
        <is>
          <t>Sep</t>
        </is>
      </c>
      <c r="IO2" s="34" t="inlineStr">
        <is>
          <t>Oct</t>
        </is>
      </c>
      <c r="IP2" s="34" t="inlineStr">
        <is>
          <t>Nov</t>
        </is>
      </c>
      <c r="IQ2" s="34" t="inlineStr">
        <is>
          <t>Dec</t>
        </is>
      </c>
      <c r="IR2" s="34" t="inlineStr">
        <is>
          <t>Total</t>
        </is>
      </c>
      <c r="IS2" s="34" t="inlineStr">
        <is>
          <t>%</t>
        </is>
      </c>
      <c r="IT2" s="34" t="inlineStr">
        <is>
          <t>Jan</t>
        </is>
      </c>
      <c r="IU2" s="34" t="inlineStr">
        <is>
          <t>Feb</t>
        </is>
      </c>
      <c r="IV2" s="34" t="inlineStr">
        <is>
          <t>Mar</t>
        </is>
      </c>
      <c r="IW2" s="34" t="inlineStr">
        <is>
          <t>Apr</t>
        </is>
      </c>
      <c r="IX2" s="34" t="inlineStr">
        <is>
          <t>May</t>
        </is>
      </c>
      <c r="IY2" s="34" t="inlineStr">
        <is>
          <t>Jun</t>
        </is>
      </c>
      <c r="IZ2" s="34" t="inlineStr">
        <is>
          <t>Jul</t>
        </is>
      </c>
      <c r="JA2" s="34" t="inlineStr">
        <is>
          <t>Aug</t>
        </is>
      </c>
      <c r="JB2" s="34" t="inlineStr">
        <is>
          <t>Sep</t>
        </is>
      </c>
      <c r="JC2" s="34" t="inlineStr">
        <is>
          <t>Oct</t>
        </is>
      </c>
      <c r="JD2" s="34" t="inlineStr">
        <is>
          <t>Nov</t>
        </is>
      </c>
      <c r="JE2" s="34" t="inlineStr">
        <is>
          <t>Dec</t>
        </is>
      </c>
      <c r="JF2" s="34" t="inlineStr">
        <is>
          <t>Total</t>
        </is>
      </c>
      <c r="JG2" s="34" t="inlineStr">
        <is>
          <t>%</t>
        </is>
      </c>
      <c r="JH2" s="34" t="inlineStr">
        <is>
          <t>Jan</t>
        </is>
      </c>
      <c r="JI2" s="34" t="inlineStr">
        <is>
          <t>Feb</t>
        </is>
      </c>
      <c r="JJ2" s="34" t="inlineStr">
        <is>
          <t>Mar</t>
        </is>
      </c>
      <c r="JK2" s="34" t="inlineStr">
        <is>
          <t>Apr</t>
        </is>
      </c>
      <c r="JL2" s="34" t="inlineStr">
        <is>
          <t>May</t>
        </is>
      </c>
      <c r="JM2" s="34" t="inlineStr">
        <is>
          <t>Jun</t>
        </is>
      </c>
      <c r="JN2" s="34" t="inlineStr">
        <is>
          <t>Jul</t>
        </is>
      </c>
      <c r="JO2" s="34" t="inlineStr">
        <is>
          <t>Aug</t>
        </is>
      </c>
      <c r="JP2" s="34" t="inlineStr">
        <is>
          <t>Sep</t>
        </is>
      </c>
      <c r="JQ2" s="34" t="inlineStr">
        <is>
          <t>Oct</t>
        </is>
      </c>
      <c r="JR2" s="34" t="inlineStr">
        <is>
          <t>Nov</t>
        </is>
      </c>
      <c r="JS2" s="34" t="inlineStr">
        <is>
          <t>Dec</t>
        </is>
      </c>
      <c r="JT2" s="34" t="inlineStr">
        <is>
          <t>Total</t>
        </is>
      </c>
      <c r="JU2" s="34" t="inlineStr">
        <is>
          <t>%</t>
        </is>
      </c>
      <c r="JV2" s="34" t="inlineStr">
        <is>
          <t>Jan</t>
        </is>
      </c>
      <c r="JW2" s="34" t="inlineStr">
        <is>
          <t>Feb</t>
        </is>
      </c>
      <c r="JX2" s="34" t="inlineStr">
        <is>
          <t>Mar</t>
        </is>
      </c>
      <c r="JY2" s="34" t="inlineStr">
        <is>
          <t>Apr</t>
        </is>
      </c>
      <c r="JZ2" s="34" t="inlineStr">
        <is>
          <t>May</t>
        </is>
      </c>
      <c r="KA2" s="34" t="inlineStr">
        <is>
          <t>Jun</t>
        </is>
      </c>
      <c r="KB2" s="34" t="inlineStr">
        <is>
          <t>Jul</t>
        </is>
      </c>
      <c r="KC2" s="34" t="inlineStr">
        <is>
          <t>Aug</t>
        </is>
      </c>
      <c r="KD2" s="34" t="inlineStr">
        <is>
          <t>Sep</t>
        </is>
      </c>
      <c r="KE2" s="34" t="inlineStr">
        <is>
          <t>Oct</t>
        </is>
      </c>
      <c r="KF2" s="34" t="inlineStr">
        <is>
          <t>Nov</t>
        </is>
      </c>
      <c r="KG2" s="34" t="inlineStr">
        <is>
          <t>Dec</t>
        </is>
      </c>
      <c r="KH2" s="34" t="inlineStr">
        <is>
          <t>Total</t>
        </is>
      </c>
      <c r="KI2" s="34" t="inlineStr">
        <is>
          <t>%</t>
        </is>
      </c>
      <c r="KJ2" s="34" t="inlineStr">
        <is>
          <t>Jan</t>
        </is>
      </c>
      <c r="KK2" s="34" t="inlineStr">
        <is>
          <t>Feb</t>
        </is>
      </c>
      <c r="KL2" s="34" t="inlineStr">
        <is>
          <t>Mar</t>
        </is>
      </c>
      <c r="KM2" s="34" t="inlineStr">
        <is>
          <t>Apr</t>
        </is>
      </c>
      <c r="KN2" s="34" t="inlineStr">
        <is>
          <t>May</t>
        </is>
      </c>
      <c r="KO2" s="34" t="inlineStr">
        <is>
          <t>Jun</t>
        </is>
      </c>
      <c r="KP2" s="34" t="inlineStr">
        <is>
          <t>Jul</t>
        </is>
      </c>
      <c r="KQ2" s="34" t="inlineStr">
        <is>
          <t>Aug</t>
        </is>
      </c>
      <c r="KR2" s="34" t="inlineStr">
        <is>
          <t>Sep</t>
        </is>
      </c>
      <c r="KS2" s="34" t="inlineStr">
        <is>
          <t>Oct</t>
        </is>
      </c>
      <c r="KT2" s="34" t="inlineStr">
        <is>
          <t>Nov</t>
        </is>
      </c>
      <c r="KU2" s="34" t="inlineStr">
        <is>
          <t>Dec</t>
        </is>
      </c>
      <c r="KV2" s="34" t="inlineStr">
        <is>
          <t>Total</t>
        </is>
      </c>
      <c r="KW2" s="34" t="inlineStr">
        <is>
          <t>%</t>
        </is>
      </c>
      <c r="KX2" s="783" t="inlineStr">
        <is>
          <t>SKU</t>
        </is>
      </c>
      <c r="KY2" s="783" t="inlineStr">
        <is>
          <t>%</t>
        </is>
      </c>
    </row>
    <row r="3" ht="14.25" customFormat="1" customHeight="1" s="57">
      <c r="A3" s="53" t="inlineStr">
        <is>
          <t xml:space="preserve">1.มี Concept จาก Mkt CPRAM มาให้ แต่เสนอ Concept แล้วไม่ผ่าน </t>
        </is>
      </c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5">
        <f>SUM(B3:M3)</f>
        <v/>
      </c>
      <c r="O3" s="56">
        <f>N3/N$45%</f>
        <v/>
      </c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5">
        <f>SUM(P3:AA3)</f>
        <v/>
      </c>
      <c r="AC3" s="56">
        <f>AB3/AB$45%</f>
        <v/>
      </c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5">
        <f>SUM(AD3:AO3)</f>
        <v/>
      </c>
      <c r="AQ3" s="56">
        <f>AP3/AP$45%</f>
        <v/>
      </c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5">
        <f>SUM(AR3:BC3)</f>
        <v/>
      </c>
      <c r="BE3" s="56">
        <f>BD3/BD$45%</f>
        <v/>
      </c>
      <c r="BF3" s="54" t="n"/>
      <c r="BG3" s="54" t="n"/>
      <c r="BH3" s="54" t="n"/>
      <c r="BI3" s="54" t="n"/>
      <c r="BJ3" s="54" t="n"/>
      <c r="BK3" s="54" t="n"/>
      <c r="BL3" s="54" t="n"/>
      <c r="BM3" s="54" t="n"/>
      <c r="BN3" s="54" t="n"/>
      <c r="BO3" s="54" t="n"/>
      <c r="BP3" s="54" t="n"/>
      <c r="BQ3" s="54" t="n"/>
      <c r="BR3" s="55">
        <f>SUM(BF3:BQ3)</f>
        <v/>
      </c>
      <c r="BS3" s="56">
        <f>BR3/BR$45%</f>
        <v/>
      </c>
      <c r="BT3" s="54" t="n"/>
      <c r="BU3" s="54" t="n"/>
      <c r="BV3" s="54" t="n"/>
      <c r="BW3" s="54" t="n"/>
      <c r="BX3" s="54" t="n"/>
      <c r="BY3" s="54" t="n"/>
      <c r="BZ3" s="54" t="n"/>
      <c r="CA3" s="54" t="n"/>
      <c r="CB3" s="54" t="n"/>
      <c r="CC3" s="54" t="n"/>
      <c r="CD3" s="54" t="n"/>
      <c r="CE3" s="54" t="n"/>
      <c r="CF3" s="55">
        <f>SUM(BT3:CE3)</f>
        <v/>
      </c>
      <c r="CG3" s="56">
        <f>CF3/CF$45%</f>
        <v/>
      </c>
      <c r="CH3" s="54" t="n"/>
      <c r="CI3" s="54" t="n"/>
      <c r="CJ3" s="54" t="n"/>
      <c r="CK3" s="54" t="n"/>
      <c r="CL3" s="54" t="n"/>
      <c r="CM3" s="54" t="n"/>
      <c r="CN3" s="54" t="n"/>
      <c r="CO3" s="54" t="n"/>
      <c r="CP3" s="54" t="n"/>
      <c r="CQ3" s="54" t="n"/>
      <c r="CR3" s="54" t="n"/>
      <c r="CS3" s="54" t="n"/>
      <c r="CT3" s="55">
        <f>SUM(CH3:CS3)</f>
        <v/>
      </c>
      <c r="CU3" s="56">
        <f>CT3/CT$45%</f>
        <v/>
      </c>
      <c r="CV3" s="54" t="n"/>
      <c r="CW3" s="54" t="n"/>
      <c r="CX3" s="54" t="n"/>
      <c r="CY3" s="54" t="n"/>
      <c r="CZ3" s="54" t="n"/>
      <c r="DA3" s="54" t="n"/>
      <c r="DB3" s="54" t="n"/>
      <c r="DC3" s="54" t="n"/>
      <c r="DD3" s="54" t="n"/>
      <c r="DE3" s="54" t="n"/>
      <c r="DF3" s="54" t="n"/>
      <c r="DG3" s="54" t="n"/>
      <c r="DH3" s="55">
        <f>SUM(CV3:DG3)</f>
        <v/>
      </c>
      <c r="DI3" s="56">
        <f>DH3/DH$45%</f>
        <v/>
      </c>
      <c r="DJ3" s="54" t="n"/>
      <c r="DK3" s="54" t="n"/>
      <c r="DL3" s="54" t="n"/>
      <c r="DM3" s="54" t="n"/>
      <c r="DN3" s="54" t="n"/>
      <c r="DO3" s="54" t="n"/>
      <c r="DP3" s="54" t="n"/>
      <c r="DQ3" s="54" t="n"/>
      <c r="DR3" s="54" t="n"/>
      <c r="DS3" s="54" t="n"/>
      <c r="DT3" s="54" t="n"/>
      <c r="DU3" s="54" t="n"/>
      <c r="DV3" s="55">
        <f>SUM(DJ3:DU3)</f>
        <v/>
      </c>
      <c r="DW3" s="56">
        <f>DV3/DV$45%</f>
        <v/>
      </c>
      <c r="DX3" s="54" t="n"/>
      <c r="DY3" s="54" t="n"/>
      <c r="DZ3" s="54" t="n"/>
      <c r="EA3" s="54" t="n"/>
      <c r="EB3" s="54" t="n"/>
      <c r="EC3" s="54" t="n"/>
      <c r="ED3" s="54" t="n"/>
      <c r="EE3" s="54" t="n"/>
      <c r="EF3" s="54" t="n"/>
      <c r="EG3" s="54" t="n"/>
      <c r="EH3" s="54" t="n"/>
      <c r="EI3" s="54" t="n"/>
      <c r="EJ3" s="55">
        <f>SUM(DX3:EI3)</f>
        <v/>
      </c>
      <c r="EK3" s="56">
        <f>EJ3/EJ$45%</f>
        <v/>
      </c>
      <c r="EL3" s="54" t="n"/>
      <c r="EM3" s="54" t="n"/>
      <c r="EN3" s="54" t="n"/>
      <c r="EO3" s="54" t="n"/>
      <c r="EP3" s="54" t="n"/>
      <c r="EQ3" s="54" t="n"/>
      <c r="ER3" s="54" t="n"/>
      <c r="ES3" s="54" t="n"/>
      <c r="ET3" s="54" t="n"/>
      <c r="EU3" s="54" t="n"/>
      <c r="EV3" s="54" t="n"/>
      <c r="EW3" s="54" t="n"/>
      <c r="EX3" s="55">
        <f>SUM(EL3:EW3)</f>
        <v/>
      </c>
      <c r="EY3" s="56">
        <f>EX3/EX$45%</f>
        <v/>
      </c>
      <c r="EZ3" s="54" t="n"/>
      <c r="FA3" s="54" t="n"/>
      <c r="FB3" s="54" t="n"/>
      <c r="FC3" s="54" t="n"/>
      <c r="FD3" s="54" t="n"/>
      <c r="FE3" s="54" t="n"/>
      <c r="FF3" s="54" t="n"/>
      <c r="FG3" s="54" t="n"/>
      <c r="FH3" s="54" t="n"/>
      <c r="FI3" s="54" t="n"/>
      <c r="FJ3" s="54" t="n"/>
      <c r="FK3" s="54" t="n"/>
      <c r="FL3" s="55">
        <f>SUM(EZ3:FK3)</f>
        <v/>
      </c>
      <c r="FM3" s="56">
        <f>FL3/FL$45%</f>
        <v/>
      </c>
      <c r="FN3" s="54" t="n"/>
      <c r="FO3" s="54" t="n"/>
      <c r="FP3" s="54" t="n"/>
      <c r="FQ3" s="54" t="n"/>
      <c r="FR3" s="54" t="n"/>
      <c r="FS3" s="54" t="n"/>
      <c r="FT3" s="54" t="n"/>
      <c r="FU3" s="54" t="n"/>
      <c r="FV3" s="54" t="n"/>
      <c r="FW3" s="54" t="n"/>
      <c r="FX3" s="54" t="n"/>
      <c r="FY3" s="54" t="n"/>
      <c r="FZ3" s="55">
        <f>SUM(FN3:FY3)</f>
        <v/>
      </c>
      <c r="GA3" s="56">
        <f>FZ3/FZ$45%</f>
        <v/>
      </c>
      <c r="GB3" s="54" t="n"/>
      <c r="GC3" s="54" t="n"/>
      <c r="GD3" s="54" t="n"/>
      <c r="GE3" s="54" t="n"/>
      <c r="GF3" s="54" t="n"/>
      <c r="GG3" s="54" t="n"/>
      <c r="GH3" s="54" t="n"/>
      <c r="GI3" s="54" t="n"/>
      <c r="GJ3" s="54" t="n"/>
      <c r="GK3" s="54" t="n"/>
      <c r="GL3" s="54" t="n"/>
      <c r="GM3" s="54" t="n"/>
      <c r="GN3" s="55">
        <f>SUM(GB3:GM3)</f>
        <v/>
      </c>
      <c r="GO3" s="56">
        <f>GN3/GN$45%</f>
        <v/>
      </c>
      <c r="GP3" s="54" t="n"/>
      <c r="GQ3" s="54" t="n"/>
      <c r="GR3" s="54" t="n"/>
      <c r="GS3" s="54" t="n"/>
      <c r="GT3" s="54" t="n"/>
      <c r="GU3" s="54" t="n"/>
      <c r="GV3" s="54" t="n"/>
      <c r="GW3" s="54" t="n"/>
      <c r="GX3" s="54" t="n"/>
      <c r="GY3" s="54" t="n"/>
      <c r="GZ3" s="54" t="n"/>
      <c r="HA3" s="54" t="n"/>
      <c r="HB3" s="55">
        <f>SUM(GP3:HA3)</f>
        <v/>
      </c>
      <c r="HC3" s="56">
        <f>HB3/HB$45%</f>
        <v/>
      </c>
      <c r="HD3" s="54" t="n"/>
      <c r="HE3" s="54" t="n"/>
      <c r="HF3" s="54" t="n"/>
      <c r="HG3" s="54" t="n"/>
      <c r="HH3" s="54" t="n"/>
      <c r="HI3" s="54" t="n"/>
      <c r="HJ3" s="54" t="n"/>
      <c r="HK3" s="54" t="n"/>
      <c r="HL3" s="54" t="n"/>
      <c r="HM3" s="54" t="n"/>
      <c r="HN3" s="54" t="n"/>
      <c r="HO3" s="54" t="n"/>
      <c r="HP3" s="55">
        <f>SUM(HD3:HO3)</f>
        <v/>
      </c>
      <c r="HQ3" s="56">
        <f>HP3/HP$45%</f>
        <v/>
      </c>
      <c r="HR3" s="54" t="n"/>
      <c r="HS3" s="54" t="n"/>
      <c r="HT3" s="54" t="n"/>
      <c r="HU3" s="54" t="n"/>
      <c r="HV3" s="54" t="n"/>
      <c r="HW3" s="54" t="n"/>
      <c r="HX3" s="54" t="n"/>
      <c r="HY3" s="54" t="n"/>
      <c r="HZ3" s="54" t="n"/>
      <c r="IA3" s="54" t="n"/>
      <c r="IB3" s="54" t="n"/>
      <c r="IC3" s="54" t="n"/>
      <c r="ID3" s="55">
        <f>SUM(HR3:IC3)</f>
        <v/>
      </c>
      <c r="IE3" s="56">
        <f>ID3/ID$45%</f>
        <v/>
      </c>
      <c r="IF3" s="54" t="n"/>
      <c r="IG3" s="54" t="n"/>
      <c r="IH3" s="54" t="n"/>
      <c r="II3" s="54" t="n"/>
      <c r="IJ3" s="54" t="n"/>
      <c r="IK3" s="54" t="n"/>
      <c r="IL3" s="54" t="n"/>
      <c r="IM3" s="54" t="n"/>
      <c r="IN3" s="54" t="n"/>
      <c r="IO3" s="54" t="n"/>
      <c r="IP3" s="54" t="n"/>
      <c r="IQ3" s="54" t="n"/>
      <c r="IR3" s="55">
        <f>SUM(IF3:IQ3)</f>
        <v/>
      </c>
      <c r="IS3" s="56">
        <f>IR3/IR$45%</f>
        <v/>
      </c>
      <c r="IT3" s="54" t="n"/>
      <c r="IU3" s="54" t="n"/>
      <c r="IV3" s="54" t="n"/>
      <c r="IW3" s="54" t="n"/>
      <c r="IX3" s="54" t="n"/>
      <c r="IY3" s="54" t="n"/>
      <c r="IZ3" s="54" t="n"/>
      <c r="JA3" s="54" t="n"/>
      <c r="JB3" s="54" t="n"/>
      <c r="JC3" s="54" t="n"/>
      <c r="JD3" s="54" t="n"/>
      <c r="JE3" s="54" t="n"/>
      <c r="JF3" s="55">
        <f>SUM(IT3:JE3)</f>
        <v/>
      </c>
      <c r="JG3" s="56">
        <f>JF3/JF$45%</f>
        <v/>
      </c>
      <c r="JH3" s="54" t="n"/>
      <c r="JI3" s="54" t="n"/>
      <c r="JJ3" s="54" t="n"/>
      <c r="JK3" s="54" t="n"/>
      <c r="JL3" s="54" t="n"/>
      <c r="JM3" s="54" t="n"/>
      <c r="JN3" s="54" t="n"/>
      <c r="JO3" s="54" t="n"/>
      <c r="JP3" s="54" t="n"/>
      <c r="JQ3" s="54" t="n"/>
      <c r="JR3" s="54" t="n"/>
      <c r="JS3" s="54" t="n"/>
      <c r="JT3" s="55">
        <f>SUM(JH3:JS3)</f>
        <v/>
      </c>
      <c r="JU3" s="56">
        <f>JT3/JT$45%</f>
        <v/>
      </c>
      <c r="JV3" s="54" t="n"/>
      <c r="JW3" s="54" t="n"/>
      <c r="JX3" s="54" t="n"/>
      <c r="JY3" s="54" t="n"/>
      <c r="JZ3" s="54" t="n"/>
      <c r="KA3" s="54" t="n"/>
      <c r="KB3" s="54" t="n"/>
      <c r="KC3" s="54" t="n"/>
      <c r="KD3" s="54" t="n"/>
      <c r="KE3" s="54" t="n"/>
      <c r="KF3" s="54" t="n"/>
      <c r="KG3" s="54" t="n"/>
      <c r="KH3" s="55">
        <f>SUM(JV3:KG3)</f>
        <v/>
      </c>
      <c r="KI3" s="56">
        <f>KH3/KH$45%</f>
        <v/>
      </c>
      <c r="KJ3" s="54" t="n"/>
      <c r="KK3" s="54" t="n"/>
      <c r="KL3" s="54" t="n"/>
      <c r="KM3" s="54" t="n"/>
      <c r="KN3" s="54" t="n"/>
      <c r="KO3" s="54" t="n"/>
      <c r="KP3" s="54" t="n"/>
      <c r="KQ3" s="54" t="n"/>
      <c r="KR3" s="54" t="n"/>
      <c r="KS3" s="54" t="n"/>
      <c r="KT3" s="54" t="n">
        <v>0</v>
      </c>
      <c r="KU3" s="54" t="n"/>
      <c r="KV3" s="55">
        <f>SUM(KJ3:KU3)</f>
        <v/>
      </c>
      <c r="KW3" s="56">
        <f>KV3/KV$45%</f>
        <v/>
      </c>
      <c r="KX3" s="78">
        <f>N3+AB3+AP3+BD3+BR3+CF3+CT3+DH3+DV3+EJ3+EX3+FZ3+GN3+HB3+HP3+ID3+IR3+JF3+KH3+KV3+JT3</f>
        <v/>
      </c>
      <c r="KY3" s="78">
        <f>KX3/KX$45%</f>
        <v/>
      </c>
    </row>
    <row r="4" ht="14.25" customFormat="1" customHeight="1" s="10">
      <c r="A4" s="17" t="inlineStr">
        <is>
          <t>1.1 เพราะสินค้าไม่ตรง Concept ที่ Mer หรือ ลูกค้า อยากได้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18">
        <f>SUM(B4:M4)</f>
        <v/>
      </c>
      <c r="O4" s="18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18">
        <f>SUM(P4:AA4)</f>
        <v/>
      </c>
      <c r="AC4" s="18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18">
        <f>SUM(AD4:AO4)</f>
        <v/>
      </c>
      <c r="AQ4" s="18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18">
        <f>SUM(AR4:BC4)</f>
        <v/>
      </c>
      <c r="BE4" s="18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18">
        <f>SUM(BF4:BQ4)</f>
        <v/>
      </c>
      <c r="BS4" s="18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18">
        <f>SUM(BT4:CE4)</f>
        <v/>
      </c>
      <c r="CG4" s="18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18">
        <f>SUM(CH4:CS4)</f>
        <v/>
      </c>
      <c r="CU4" s="18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18">
        <f>SUM(CV4:DG4)</f>
        <v/>
      </c>
      <c r="DI4" s="18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18">
        <f>SUM(DJ4:DU4)</f>
        <v/>
      </c>
      <c r="DW4" s="18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18">
        <f>SUM(DX4:EI4)</f>
        <v/>
      </c>
      <c r="EK4" s="18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18">
        <f>SUM(EL4:EW4)</f>
        <v/>
      </c>
      <c r="EY4" s="18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18">
        <f>SUM(EZ4:FK4)</f>
        <v/>
      </c>
      <c r="FM4" s="18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18">
        <f>SUM(FN4:FY4)</f>
        <v/>
      </c>
      <c r="GA4" s="18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18">
        <f>SUM(GB4:GM4)</f>
        <v/>
      </c>
      <c r="GO4" s="18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18">
        <f>SUM(GP4:HA4)</f>
        <v/>
      </c>
      <c r="HC4" s="18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18">
        <f>SUM(HD4:HO4)</f>
        <v/>
      </c>
      <c r="HQ4" s="18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18">
        <f>SUM(HR4:IC4)</f>
        <v/>
      </c>
      <c r="IE4" s="18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18">
        <f>SUM(IF4:IQ4)</f>
        <v/>
      </c>
      <c r="IS4" s="18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18">
        <f>SUM(IT4:JE4)</f>
        <v/>
      </c>
      <c r="JG4" s="18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18">
        <f>SUM(JH4:JS4)</f>
        <v/>
      </c>
      <c r="JU4" s="18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18">
        <f>SUM(JV4:KG4)</f>
        <v/>
      </c>
      <c r="KI4" s="18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18">
        <f>SUM(KJ4:KU4)</f>
        <v/>
      </c>
      <c r="KW4" s="18" t="n"/>
      <c r="KX4" s="783" t="n"/>
      <c r="KY4" s="76" t="n"/>
    </row>
    <row r="5" ht="14.25" customFormat="1" customHeight="1" s="10">
      <c r="A5" s="17" t="inlineStr">
        <is>
          <t>1.2 เพราะสินค้าไม่เหมือน BM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18">
        <f>SUM(B5:M5)</f>
        <v/>
      </c>
      <c r="O5" s="18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18">
        <f>SUM(P5:AA5)</f>
        <v/>
      </c>
      <c r="AC5" s="18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18">
        <f>SUM(AD5:AO5)</f>
        <v/>
      </c>
      <c r="AQ5" s="18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18">
        <f>SUM(AR5:BC5)</f>
        <v/>
      </c>
      <c r="BE5" s="18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18">
        <f>SUM(BF5:BQ5)</f>
        <v/>
      </c>
      <c r="BS5" s="18" t="n"/>
      <c r="BT5" s="7" t="n"/>
      <c r="BU5" s="7" t="n"/>
      <c r="BV5" s="7" t="n"/>
      <c r="BW5" s="7" t="n"/>
      <c r="BY5" s="7" t="n"/>
      <c r="BZ5" s="7" t="n"/>
      <c r="CA5" s="7" t="n"/>
      <c r="CB5" s="7" t="n"/>
      <c r="CC5" s="7" t="n"/>
      <c r="CD5" s="7" t="n"/>
      <c r="CE5" s="7" t="n"/>
      <c r="CF5" s="18">
        <f>SUM(BT5:CE5)</f>
        <v/>
      </c>
      <c r="CG5" s="18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18">
        <f>SUM(CH5:CS5)</f>
        <v/>
      </c>
      <c r="CU5" s="18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18">
        <f>SUM(CV5:DG5)</f>
        <v/>
      </c>
      <c r="DI5" s="18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18">
        <f>SUM(DJ5:DU5)</f>
        <v/>
      </c>
      <c r="DW5" s="18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18">
        <f>SUM(DX5:EI5)</f>
        <v/>
      </c>
      <c r="EK5" s="18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18">
        <f>SUM(EL5:EW5)</f>
        <v/>
      </c>
      <c r="EY5" s="18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18">
        <f>SUM(EZ5:FK5)</f>
        <v/>
      </c>
      <c r="FM5" s="18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18">
        <f>SUM(FN5:FY5)</f>
        <v/>
      </c>
      <c r="GA5" s="18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18">
        <f>SUM(GB5:GM5)</f>
        <v/>
      </c>
      <c r="GO5" s="18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18">
        <f>SUM(GP5:HA5)</f>
        <v/>
      </c>
      <c r="HC5" s="18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18">
        <f>SUM(HD5:HO5)</f>
        <v/>
      </c>
      <c r="HQ5" s="18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18">
        <f>SUM(HR5:IC5)</f>
        <v/>
      </c>
      <c r="IE5" s="18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18">
        <f>SUM(IF5:IQ5)</f>
        <v/>
      </c>
      <c r="IS5" s="18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18">
        <f>SUM(IT5:JE5)</f>
        <v/>
      </c>
      <c r="JG5" s="18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18">
        <f>SUM(JH5:JS5)</f>
        <v/>
      </c>
      <c r="JU5" s="18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18">
        <f>SUM(JV5:KG5)</f>
        <v/>
      </c>
      <c r="KI5" s="18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18">
        <f>SUM(KJ5:KU5)</f>
        <v/>
      </c>
      <c r="KW5" s="18" t="n"/>
      <c r="KX5" s="783" t="n"/>
      <c r="KY5" s="76" t="n"/>
    </row>
    <row r="6" ht="14.25" customFormat="1" customHeight="1" s="10">
      <c r="A6" s="17" t="inlineStr">
        <is>
          <t>1.3 เพราะSurvey ลูกค้าแล้วไม่ผ่าน, ไม่น่าสนใจ</t>
        </is>
      </c>
      <c r="B6" s="7" t="n"/>
      <c r="C6" s="7" t="n"/>
      <c r="D6" s="7" t="n"/>
      <c r="E6" s="19" t="n"/>
      <c r="F6" s="7" t="n"/>
      <c r="G6" s="7" t="n"/>
      <c r="H6" s="7" t="n"/>
      <c r="I6" s="19" t="n"/>
      <c r="J6" s="7" t="n"/>
      <c r="K6" s="7" t="n"/>
      <c r="L6" s="7" t="n"/>
      <c r="M6" s="19" t="n"/>
      <c r="N6" s="18">
        <f>SUM(B6:M6)</f>
        <v/>
      </c>
      <c r="O6" s="20" t="n"/>
      <c r="P6" s="7" t="n"/>
      <c r="Q6" s="7" t="n"/>
      <c r="R6" s="7" t="n"/>
      <c r="S6" s="19" t="n"/>
      <c r="T6" s="7" t="n"/>
      <c r="U6" s="7" t="n"/>
      <c r="V6" s="7" t="n"/>
      <c r="W6" s="19" t="n"/>
      <c r="X6" s="7" t="n"/>
      <c r="Y6" s="7" t="n"/>
      <c r="Z6" s="7" t="n"/>
      <c r="AA6" s="19" t="n"/>
      <c r="AB6" s="18">
        <f>SUM(P6:AA6)</f>
        <v/>
      </c>
      <c r="AC6" s="20" t="n"/>
      <c r="AD6" s="7" t="n"/>
      <c r="AE6" s="7" t="n"/>
      <c r="AF6" s="7" t="n"/>
      <c r="AG6" s="19" t="n"/>
      <c r="AH6" s="7" t="n"/>
      <c r="AI6" s="7" t="n"/>
      <c r="AJ6" s="7" t="n"/>
      <c r="AK6" s="19" t="n"/>
      <c r="AL6" s="7" t="n"/>
      <c r="AM6" s="7" t="n"/>
      <c r="AN6" s="7" t="n"/>
      <c r="AO6" s="19" t="n"/>
      <c r="AP6" s="18">
        <f>SUM(AD6:AO6)</f>
        <v/>
      </c>
      <c r="AQ6" s="20" t="n"/>
      <c r="AR6" s="7" t="n"/>
      <c r="AS6" s="7" t="n"/>
      <c r="AT6" s="7" t="n"/>
      <c r="AU6" s="19" t="n"/>
      <c r="AV6" s="7" t="n"/>
      <c r="AW6" s="7" t="n"/>
      <c r="AX6" s="7" t="n"/>
      <c r="AY6" s="19" t="n"/>
      <c r="AZ6" s="7" t="n"/>
      <c r="BA6" s="7" t="n"/>
      <c r="BB6" s="7" t="n"/>
      <c r="BC6" s="19" t="n"/>
      <c r="BD6" s="18">
        <f>SUM(AR6:BC6)</f>
        <v/>
      </c>
      <c r="BE6" s="20" t="n"/>
      <c r="BF6" s="7" t="n"/>
      <c r="BG6" s="7" t="n"/>
      <c r="BH6" s="7" t="n"/>
      <c r="BI6" s="19" t="n"/>
      <c r="BJ6" s="7" t="n"/>
      <c r="BK6" s="7" t="n"/>
      <c r="BL6" s="7" t="n"/>
      <c r="BM6" s="19" t="n"/>
      <c r="BN6" s="7" t="n"/>
      <c r="BO6" s="7" t="n"/>
      <c r="BP6" s="7" t="n"/>
      <c r="BQ6" s="19" t="n"/>
      <c r="BR6" s="18">
        <f>SUM(BF6:BQ6)</f>
        <v/>
      </c>
      <c r="BS6" s="20" t="n"/>
      <c r="BT6" s="7" t="n"/>
      <c r="BU6" s="7" t="n"/>
      <c r="BV6" s="7" t="n"/>
      <c r="BW6" s="19" t="n"/>
      <c r="BX6" s="7" t="n"/>
      <c r="BY6" s="7" t="n"/>
      <c r="BZ6" s="7" t="n"/>
      <c r="CA6" s="19" t="n"/>
      <c r="CB6" s="7" t="n"/>
      <c r="CC6" s="7" t="n"/>
      <c r="CD6" s="7" t="n"/>
      <c r="CE6" s="19" t="n"/>
      <c r="CF6" s="18">
        <f>SUM(BT6:CE6)</f>
        <v/>
      </c>
      <c r="CG6" s="20" t="n"/>
      <c r="CH6" s="7" t="n"/>
      <c r="CI6" s="7" t="n"/>
      <c r="CJ6" s="7" t="n"/>
      <c r="CK6" s="19" t="n"/>
      <c r="CL6" s="7" t="n"/>
      <c r="CM6" s="7" t="n"/>
      <c r="CN6" s="7" t="n"/>
      <c r="CO6" s="19" t="n"/>
      <c r="CP6" s="7" t="n"/>
      <c r="CQ6" s="7" t="n"/>
      <c r="CR6" s="7" t="n"/>
      <c r="CS6" s="19" t="n"/>
      <c r="CT6" s="18">
        <f>SUM(CH6:CS6)</f>
        <v/>
      </c>
      <c r="CU6" s="20" t="n"/>
      <c r="CV6" s="7" t="n"/>
      <c r="CW6" s="7" t="n"/>
      <c r="CX6" s="7" t="n"/>
      <c r="CY6" s="19" t="n"/>
      <c r="CZ6" s="7" t="n"/>
      <c r="DA6" s="7" t="n"/>
      <c r="DB6" s="7" t="n"/>
      <c r="DC6" s="19" t="n"/>
      <c r="DD6" s="7" t="n"/>
      <c r="DE6" s="7" t="n"/>
      <c r="DF6" s="7" t="n"/>
      <c r="DG6" s="19" t="n"/>
      <c r="DH6" s="18">
        <f>SUM(CV6:DG6)</f>
        <v/>
      </c>
      <c r="DI6" s="20" t="n"/>
      <c r="DJ6" s="7" t="n"/>
      <c r="DK6" s="7" t="n"/>
      <c r="DL6" s="7" t="n"/>
      <c r="DM6" s="19" t="n"/>
      <c r="DN6" s="7" t="n"/>
      <c r="DO6" s="7" t="n"/>
      <c r="DP6" s="7" t="n"/>
      <c r="DQ6" s="19" t="n"/>
      <c r="DR6" s="7" t="n"/>
      <c r="DS6" s="7" t="n"/>
      <c r="DT6" s="7" t="n"/>
      <c r="DU6" s="19" t="n"/>
      <c r="DV6" s="18">
        <f>SUM(DJ6:DU6)</f>
        <v/>
      </c>
      <c r="DW6" s="20" t="n"/>
      <c r="DX6" s="7" t="n"/>
      <c r="DY6" s="7" t="n"/>
      <c r="DZ6" s="7" t="n"/>
      <c r="EA6" s="19" t="n"/>
      <c r="EB6" s="7" t="n"/>
      <c r="EC6" s="7" t="n"/>
      <c r="ED6" s="7" t="n"/>
      <c r="EE6" s="19" t="n"/>
      <c r="EF6" s="7" t="n"/>
      <c r="EG6" s="7" t="n"/>
      <c r="EH6" s="7" t="n"/>
      <c r="EI6" s="19" t="n"/>
      <c r="EJ6" s="18">
        <f>SUM(DX6:EI6)</f>
        <v/>
      </c>
      <c r="EK6" s="20" t="n"/>
      <c r="EL6" s="7" t="n"/>
      <c r="EM6" s="7" t="n"/>
      <c r="EN6" s="7" t="n"/>
      <c r="EO6" s="19" t="n"/>
      <c r="EP6" s="7" t="n"/>
      <c r="EQ6" s="7" t="n"/>
      <c r="ER6" s="7" t="n"/>
      <c r="ES6" s="19" t="n"/>
      <c r="ET6" s="7" t="n"/>
      <c r="EU6" s="7" t="n"/>
      <c r="EV6" s="7" t="n"/>
      <c r="EW6" s="19" t="n"/>
      <c r="EX6" s="18">
        <f>SUM(EL6:EW6)</f>
        <v/>
      </c>
      <c r="EY6" s="20" t="n"/>
      <c r="EZ6" s="7" t="n"/>
      <c r="FA6" s="7" t="n"/>
      <c r="FB6" s="7" t="n"/>
      <c r="FC6" s="19" t="n"/>
      <c r="FD6" s="7" t="n"/>
      <c r="FE6" s="7" t="n"/>
      <c r="FF6" s="7" t="n"/>
      <c r="FG6" s="19" t="n"/>
      <c r="FH6" s="7" t="n"/>
      <c r="FI6" s="7" t="n"/>
      <c r="FJ6" s="7" t="n"/>
      <c r="FK6" s="19" t="n"/>
      <c r="FL6" s="18">
        <f>SUM(EZ6:FK6)</f>
        <v/>
      </c>
      <c r="FM6" s="20" t="n"/>
      <c r="FN6" s="7" t="n"/>
      <c r="FO6" s="7" t="n"/>
      <c r="FP6" s="7" t="n"/>
      <c r="FQ6" s="19" t="n"/>
      <c r="FR6" s="7" t="n"/>
      <c r="FS6" s="7" t="n"/>
      <c r="FT6" s="7" t="n"/>
      <c r="FU6" s="19" t="n"/>
      <c r="FV6" s="7" t="n"/>
      <c r="FW6" s="7" t="n"/>
      <c r="FX6" s="7" t="n"/>
      <c r="FY6" s="19" t="n"/>
      <c r="FZ6" s="18">
        <f>SUM(FN6:FY6)</f>
        <v/>
      </c>
      <c r="GA6" s="20" t="n"/>
      <c r="GB6" s="7" t="n"/>
      <c r="GC6" s="7" t="n"/>
      <c r="GD6" s="7" t="n"/>
      <c r="GE6" s="19" t="n"/>
      <c r="GF6" s="7" t="n"/>
      <c r="GG6" s="7" t="n"/>
      <c r="GH6" s="7" t="n"/>
      <c r="GI6" s="19" t="n"/>
      <c r="GJ6" s="7" t="n"/>
      <c r="GK6" s="7" t="n"/>
      <c r="GL6" s="7" t="n"/>
      <c r="GM6" s="19" t="n"/>
      <c r="GN6" s="18">
        <f>SUM(GB6:GM6)</f>
        <v/>
      </c>
      <c r="GO6" s="20" t="n"/>
      <c r="GP6" s="7" t="n"/>
      <c r="GQ6" s="7" t="n"/>
      <c r="GR6" s="7" t="n"/>
      <c r="GS6" s="19" t="n"/>
      <c r="GT6" s="7" t="n"/>
      <c r="GU6" s="7" t="n"/>
      <c r="GV6" s="7" t="n"/>
      <c r="GW6" s="19" t="n"/>
      <c r="GX6" s="7" t="n"/>
      <c r="GY6" s="7" t="n"/>
      <c r="GZ6" s="7" t="n"/>
      <c r="HA6" s="19" t="n"/>
      <c r="HB6" s="18">
        <f>SUM(GP6:HA6)</f>
        <v/>
      </c>
      <c r="HC6" s="20" t="n"/>
      <c r="HD6" s="7" t="n"/>
      <c r="HE6" s="7" t="n"/>
      <c r="HF6" s="7" t="n"/>
      <c r="HG6" s="19" t="n"/>
      <c r="HH6" s="7" t="n"/>
      <c r="HI6" s="7" t="n"/>
      <c r="HJ6" s="7" t="n"/>
      <c r="HK6" s="19" t="n"/>
      <c r="HL6" s="7" t="n"/>
      <c r="HM6" s="7" t="n"/>
      <c r="HN6" s="7" t="n"/>
      <c r="HO6" s="19" t="n"/>
      <c r="HP6" s="18">
        <f>SUM(HD6:HO6)</f>
        <v/>
      </c>
      <c r="HQ6" s="20" t="n"/>
      <c r="HR6" s="7" t="n"/>
      <c r="HS6" s="7" t="n"/>
      <c r="HT6" s="7" t="n"/>
      <c r="HU6" s="19" t="n"/>
      <c r="HV6" s="7" t="n"/>
      <c r="HW6" s="7" t="n"/>
      <c r="HX6" s="7" t="n"/>
      <c r="HY6" s="19" t="n"/>
      <c r="HZ6" s="7" t="n"/>
      <c r="IA6" s="7" t="n"/>
      <c r="IB6" s="7" t="n"/>
      <c r="IC6" s="19" t="n"/>
      <c r="ID6" s="18">
        <f>SUM(HR6:IC6)</f>
        <v/>
      </c>
      <c r="IE6" s="20" t="n"/>
      <c r="IF6" s="7" t="n"/>
      <c r="IG6" s="7" t="n"/>
      <c r="IH6" s="7" t="n"/>
      <c r="II6" s="19" t="n"/>
      <c r="IJ6" s="7" t="n"/>
      <c r="IK6" s="7" t="n"/>
      <c r="IL6" s="7" t="n"/>
      <c r="IM6" s="19" t="n"/>
      <c r="IN6" s="7" t="n"/>
      <c r="IO6" s="7" t="n"/>
      <c r="IP6" s="7" t="n"/>
      <c r="IQ6" s="19" t="n"/>
      <c r="IR6" s="18">
        <f>SUM(IF6:IQ6)</f>
        <v/>
      </c>
      <c r="IS6" s="20" t="n"/>
      <c r="IT6" s="7" t="n"/>
      <c r="IU6" s="7" t="n"/>
      <c r="IV6" s="7" t="n"/>
      <c r="IW6" s="19" t="n"/>
      <c r="IX6" s="7" t="n"/>
      <c r="IY6" s="7" t="n"/>
      <c r="IZ6" s="7" t="n"/>
      <c r="JA6" s="19" t="n"/>
      <c r="JB6" s="7" t="n"/>
      <c r="JC6" s="7" t="n"/>
      <c r="JD6" s="7" t="n"/>
      <c r="JE6" s="19" t="n"/>
      <c r="JF6" s="18">
        <f>SUM(IT6:JE6)</f>
        <v/>
      </c>
      <c r="JG6" s="20" t="n"/>
      <c r="JH6" s="7" t="n"/>
      <c r="JI6" s="7" t="n"/>
      <c r="JJ6" s="7" t="n"/>
      <c r="JK6" s="19" t="n"/>
      <c r="JL6" s="7" t="n"/>
      <c r="JM6" s="7" t="n"/>
      <c r="JN6" s="7" t="n"/>
      <c r="JO6" s="19" t="n"/>
      <c r="JP6" s="7" t="n"/>
      <c r="JQ6" s="7" t="n"/>
      <c r="JR6" s="7" t="n"/>
      <c r="JS6" s="19" t="n"/>
      <c r="JT6" s="18">
        <f>SUM(JH6:JS6)</f>
        <v/>
      </c>
      <c r="JU6" s="20" t="n"/>
      <c r="JV6" s="7" t="n"/>
      <c r="JW6" s="7" t="n"/>
      <c r="JX6" s="7" t="n"/>
      <c r="JY6" s="19" t="n"/>
      <c r="JZ6" s="7" t="n"/>
      <c r="KA6" s="7" t="n"/>
      <c r="KB6" s="7" t="n"/>
      <c r="KC6" s="19" t="n"/>
      <c r="KD6" s="7" t="n"/>
      <c r="KE6" s="7" t="n"/>
      <c r="KF6" s="7" t="n"/>
      <c r="KG6" s="19" t="n"/>
      <c r="KH6" s="18">
        <f>SUM(JV6:KG6)</f>
        <v/>
      </c>
      <c r="KI6" s="20" t="n"/>
      <c r="KJ6" s="7" t="n"/>
      <c r="KK6" s="7" t="n"/>
      <c r="KL6" s="7" t="n"/>
      <c r="KM6" s="19" t="n"/>
      <c r="KN6" s="7" t="n"/>
      <c r="KO6" s="7" t="n"/>
      <c r="KP6" s="7" t="n"/>
      <c r="KQ6" s="19" t="n"/>
      <c r="KR6" s="7" t="n"/>
      <c r="KS6" s="7" t="n"/>
      <c r="KT6" s="7" t="n"/>
      <c r="KU6" s="19" t="n"/>
      <c r="KV6" s="18">
        <f>SUM(KJ6:KU6)</f>
        <v/>
      </c>
      <c r="KW6" s="20" t="n"/>
      <c r="KX6" s="79" t="n"/>
      <c r="KY6" s="76" t="n"/>
    </row>
    <row r="7" ht="14.25" customFormat="1" customHeight="1" s="10">
      <c r="A7" s="17" t="inlineStr">
        <is>
          <t>1.4 เพราะ Mer แจ้งว่า Market Share น้อยเกินไป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18">
        <f>SUM(B7:M7)</f>
        <v/>
      </c>
      <c r="O7" s="18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18">
        <f>SUM(P7:AA7)</f>
        <v/>
      </c>
      <c r="AC7" s="18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18">
        <f>SUM(AD7:AO7)</f>
        <v/>
      </c>
      <c r="AQ7" s="18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18">
        <f>SUM(AR7:BC7)</f>
        <v/>
      </c>
      <c r="BE7" s="18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18">
        <f>SUM(BF7:BQ7)</f>
        <v/>
      </c>
      <c r="BS7" s="18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18">
        <f>SUM(BT7:CE7)</f>
        <v/>
      </c>
      <c r="CG7" s="18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18">
        <f>SUM(CH7:CS7)</f>
        <v/>
      </c>
      <c r="CU7" s="18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18">
        <f>SUM(CV7:DG7)</f>
        <v/>
      </c>
      <c r="DI7" s="18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18">
        <f>SUM(DJ7:DU7)</f>
        <v/>
      </c>
      <c r="DW7" s="18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18">
        <f>SUM(DX7:EI7)</f>
        <v/>
      </c>
      <c r="EK7" s="18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18">
        <f>SUM(EL7:EW7)</f>
        <v/>
      </c>
      <c r="EY7" s="18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18">
        <f>SUM(EZ7:FK7)</f>
        <v/>
      </c>
      <c r="FM7" s="18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18">
        <f>SUM(FN7:FY7)</f>
        <v/>
      </c>
      <c r="GA7" s="18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18">
        <f>SUM(GB7:GM7)</f>
        <v/>
      </c>
      <c r="GO7" s="18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18">
        <f>SUM(GP7:HA7)</f>
        <v/>
      </c>
      <c r="HC7" s="18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18">
        <f>SUM(HD7:HO7)</f>
        <v/>
      </c>
      <c r="HQ7" s="18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18">
        <f>SUM(HR7:IC7)</f>
        <v/>
      </c>
      <c r="IE7" s="18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18">
        <f>SUM(IF7:IQ7)</f>
        <v/>
      </c>
      <c r="IS7" s="18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18">
        <f>SUM(IT7:JE7)</f>
        <v/>
      </c>
      <c r="JG7" s="18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18">
        <f>SUM(JH7:JS7)</f>
        <v/>
      </c>
      <c r="JU7" s="18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18">
        <f>SUM(JV7:KG7)</f>
        <v/>
      </c>
      <c r="KI7" s="18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18">
        <f>SUM(KJ7:KU7)</f>
        <v/>
      </c>
      <c r="KW7" s="18" t="n"/>
      <c r="KX7" s="783" t="n"/>
      <c r="KY7" s="76" t="n"/>
    </row>
    <row r="8" ht="14.25" customFormat="1" customHeight="1" s="10">
      <c r="A8" s="17" t="inlineStr">
        <is>
          <t>1.5 ใกล้เคียงกับสินค้าที่จำหน่าย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18">
        <f>SUM(B8:M8)</f>
        <v/>
      </c>
      <c r="O8" s="18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18">
        <f>SUM(P8:AA8)</f>
        <v/>
      </c>
      <c r="AC8" s="18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18">
        <f>SUM(AD8:AO8)</f>
        <v/>
      </c>
      <c r="AQ8" s="18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18">
        <f>SUM(AR8:BC8)</f>
        <v/>
      </c>
      <c r="BE8" s="18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18">
        <f>SUM(BF8:BQ8)</f>
        <v/>
      </c>
      <c r="BS8" s="18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18">
        <f>SUM(BT8:CE8)</f>
        <v/>
      </c>
      <c r="CG8" s="18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18">
        <f>SUM(CH8:CS8)</f>
        <v/>
      </c>
      <c r="CU8" s="18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18">
        <f>SUM(CV8:DG8)</f>
        <v/>
      </c>
      <c r="DI8" s="18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18">
        <f>SUM(DJ8:DU8)</f>
        <v/>
      </c>
      <c r="DW8" s="18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18">
        <f>SUM(DX8:EI8)</f>
        <v/>
      </c>
      <c r="EK8" s="18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18">
        <f>SUM(EL8:EW8)</f>
        <v/>
      </c>
      <c r="EY8" s="18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18">
        <f>SUM(EZ8:FK8)</f>
        <v/>
      </c>
      <c r="FM8" s="18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18">
        <f>SUM(FN8:FY8)</f>
        <v/>
      </c>
      <c r="GA8" s="18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18">
        <f>SUM(GB8:GM8)</f>
        <v/>
      </c>
      <c r="GO8" s="18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18">
        <f>SUM(GP8:HA8)</f>
        <v/>
      </c>
      <c r="HC8" s="18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18">
        <f>SUM(HD8:HO8)</f>
        <v/>
      </c>
      <c r="HQ8" s="18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18">
        <f>SUM(HR8:IC8)</f>
        <v/>
      </c>
      <c r="IE8" s="18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18">
        <f>SUM(IF8:IQ8)</f>
        <v/>
      </c>
      <c r="IS8" s="18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18">
        <f>SUM(IT8:JE8)</f>
        <v/>
      </c>
      <c r="JG8" s="18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18">
        <f>SUM(JH8:JS8)</f>
        <v/>
      </c>
      <c r="JU8" s="18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18">
        <f>SUM(JV8:KG8)</f>
        <v/>
      </c>
      <c r="KI8" s="18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18">
        <f>SUM(KJ8:KU8)</f>
        <v/>
      </c>
      <c r="KW8" s="18" t="n"/>
      <c r="KX8" s="783" t="n"/>
      <c r="KY8" s="76" t="n"/>
    </row>
    <row r="9" ht="14.25" customFormat="1" customHeight="1" s="10">
      <c r="A9" s="17" t="inlineStr">
        <is>
          <t>1.6 ราคาขายปลีกสูงเกินไป ไม่สามารถจำหน่ายได้ตามต้นทุน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18">
        <f>SUM(B9:M9)</f>
        <v/>
      </c>
      <c r="O9" s="18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18">
        <f>SUM(P9:AA9)</f>
        <v/>
      </c>
      <c r="AC9" s="18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18">
        <f>SUM(AD9:AO9)</f>
        <v/>
      </c>
      <c r="AQ9" s="18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18">
        <f>SUM(AR9:BC9)</f>
        <v/>
      </c>
      <c r="BE9" s="18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18">
        <f>SUM(BF9:BQ9)</f>
        <v/>
      </c>
      <c r="BS9" s="18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18">
        <f>SUM(BT9:CE9)</f>
        <v/>
      </c>
      <c r="CG9" s="18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18">
        <f>SUM(CH9:CS9)</f>
        <v/>
      </c>
      <c r="CU9" s="18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18">
        <f>SUM(CV9:DG9)</f>
        <v/>
      </c>
      <c r="DI9" s="18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18">
        <f>SUM(DJ9:DU9)</f>
        <v/>
      </c>
      <c r="DW9" s="18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18">
        <f>SUM(DX9:EI9)</f>
        <v/>
      </c>
      <c r="EK9" s="18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18">
        <f>SUM(EL9:EW9)</f>
        <v/>
      </c>
      <c r="EY9" s="18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18">
        <f>SUM(EZ9:FK9)</f>
        <v/>
      </c>
      <c r="FM9" s="18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18">
        <f>SUM(FN9:FY9)</f>
        <v/>
      </c>
      <c r="GA9" s="18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18">
        <f>SUM(GB9:GM9)</f>
        <v/>
      </c>
      <c r="GO9" s="18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18">
        <f>SUM(GP9:HA9)</f>
        <v/>
      </c>
      <c r="HC9" s="18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18">
        <f>SUM(HD9:HO9)</f>
        <v/>
      </c>
      <c r="HQ9" s="18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18">
        <f>SUM(HR9:IC9)</f>
        <v/>
      </c>
      <c r="IE9" s="18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18">
        <f>SUM(IF9:IQ9)</f>
        <v/>
      </c>
      <c r="IS9" s="18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18">
        <f>SUM(IT9:JE9)</f>
        <v/>
      </c>
      <c r="JG9" s="18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18">
        <f>SUM(JH9:JS9)</f>
        <v/>
      </c>
      <c r="JU9" s="18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18">
        <f>SUM(JV9:KG9)</f>
        <v/>
      </c>
      <c r="KI9" s="18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18">
        <f>SUM(KJ9:KU9)</f>
        <v/>
      </c>
      <c r="KW9" s="18" t="n"/>
      <c r="KX9" s="783" t="n"/>
      <c r="KY9" s="76" t="n"/>
    </row>
    <row r="10" ht="14.25" customFormat="1" customHeight="1" s="57">
      <c r="A10" s="53" t="inlineStr">
        <is>
          <t xml:space="preserve">2.มี Concept จากลูกค้ามาให้ แต่เสนอ Concept แล้วไม่ผ่าน 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5">
        <f>SUM(B10:M10)</f>
        <v/>
      </c>
      <c r="O10" s="56">
        <f>N10/N$45%</f>
        <v/>
      </c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5">
        <f>SUM(P10:AA10)</f>
        <v/>
      </c>
      <c r="AC10" s="56">
        <f>AB10/AB$45%</f>
        <v/>
      </c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5">
        <f>SUM(AD10:AO10)</f>
        <v/>
      </c>
      <c r="AQ10" s="56">
        <f>AP10/AP$45%</f>
        <v/>
      </c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5">
        <f>SUM(AR10:BC10)</f>
        <v/>
      </c>
      <c r="BE10" s="56">
        <f>BD10/BD$45%</f>
        <v/>
      </c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5">
        <f>SUM(BF10:BQ10)</f>
        <v/>
      </c>
      <c r="BS10" s="56">
        <f>BR10/BR$45%</f>
        <v/>
      </c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5">
        <f>SUM(BT10:CE10)</f>
        <v/>
      </c>
      <c r="CG10" s="56">
        <f>CF10/CF$45%</f>
        <v/>
      </c>
      <c r="CH10" s="54" t="n"/>
      <c r="CI10" s="54" t="n"/>
      <c r="CJ10" s="54" t="n"/>
      <c r="CK10" s="54" t="n"/>
      <c r="CL10" s="54" t="n"/>
      <c r="CM10" s="54" t="n"/>
      <c r="CN10" s="54" t="n"/>
      <c r="CO10" s="54" t="n"/>
      <c r="CP10" s="54" t="n"/>
      <c r="CQ10" s="54" t="n"/>
      <c r="CR10" s="54" t="n"/>
      <c r="CS10" s="54" t="n"/>
      <c r="CT10" s="55">
        <f>SUM(CH10:CS10)</f>
        <v/>
      </c>
      <c r="CU10" s="56">
        <f>CT10/CT$45%</f>
        <v/>
      </c>
      <c r="CV10" s="54" t="n"/>
      <c r="CW10" s="54" t="n"/>
      <c r="CX10" s="54" t="n"/>
      <c r="CY10" s="54" t="n"/>
      <c r="CZ10" s="54" t="n"/>
      <c r="DA10" s="54" t="n"/>
      <c r="DB10" s="54" t="n"/>
      <c r="DC10" s="54" t="n"/>
      <c r="DD10" s="54" t="n"/>
      <c r="DE10" s="54" t="n"/>
      <c r="DF10" s="54" t="n"/>
      <c r="DG10" s="54" t="n"/>
      <c r="DH10" s="55">
        <f>SUM(CV10:DG10)</f>
        <v/>
      </c>
      <c r="DI10" s="56">
        <f>DH10/DH$45%</f>
        <v/>
      </c>
      <c r="DJ10" s="54" t="n"/>
      <c r="DK10" s="54" t="n"/>
      <c r="DL10" s="54" t="n"/>
      <c r="DM10" s="54" t="n"/>
      <c r="DN10" s="54" t="n"/>
      <c r="DO10" s="54" t="n"/>
      <c r="DP10" s="54" t="n"/>
      <c r="DQ10" s="54" t="n"/>
      <c r="DR10" s="54" t="n"/>
      <c r="DS10" s="54" t="n"/>
      <c r="DT10" s="54" t="n"/>
      <c r="DU10" s="54" t="n"/>
      <c r="DV10" s="55">
        <f>SUM(DJ10:DU10)</f>
        <v/>
      </c>
      <c r="DW10" s="56">
        <f>DV10/DV$45%</f>
        <v/>
      </c>
      <c r="DX10" s="54" t="n"/>
      <c r="DY10" s="54" t="n"/>
      <c r="DZ10" s="54" t="n"/>
      <c r="EA10" s="54" t="n"/>
      <c r="EB10" s="54" t="n"/>
      <c r="EC10" s="54" t="n"/>
      <c r="ED10" s="54" t="n"/>
      <c r="EE10" s="54" t="n"/>
      <c r="EF10" s="54" t="n"/>
      <c r="EG10" s="54" t="n"/>
      <c r="EH10" s="54" t="n"/>
      <c r="EI10" s="54" t="n"/>
      <c r="EJ10" s="55">
        <f>SUM(DX10:EI10)</f>
        <v/>
      </c>
      <c r="EK10" s="56">
        <f>EJ10/EJ$45%</f>
        <v/>
      </c>
      <c r="EL10" s="54" t="n"/>
      <c r="EM10" s="54" t="n"/>
      <c r="EN10" s="54" t="n"/>
      <c r="EO10" s="54" t="n"/>
      <c r="EP10" s="54" t="n"/>
      <c r="EQ10" s="54" t="n"/>
      <c r="ER10" s="54" t="n"/>
      <c r="ES10" s="54" t="n"/>
      <c r="ET10" s="54" t="n"/>
      <c r="EU10" s="54" t="n"/>
      <c r="EV10" s="54" t="n"/>
      <c r="EW10" s="54" t="n"/>
      <c r="EX10" s="55">
        <f>SUM(EL10:EW10)</f>
        <v/>
      </c>
      <c r="EY10" s="56">
        <f>EX10/EX$45%</f>
        <v/>
      </c>
      <c r="EZ10" s="54" t="n"/>
      <c r="FA10" s="54" t="n"/>
      <c r="FB10" s="54" t="n"/>
      <c r="FC10" s="54" t="n"/>
      <c r="FD10" s="54" t="n"/>
      <c r="FE10" s="54" t="n"/>
      <c r="FF10" s="54" t="n"/>
      <c r="FG10" s="54" t="n"/>
      <c r="FH10" s="54" t="n"/>
      <c r="FI10" s="54" t="n"/>
      <c r="FJ10" s="54" t="n"/>
      <c r="FK10" s="54" t="n"/>
      <c r="FL10" s="55">
        <f>SUM(EZ10:FK10)</f>
        <v/>
      </c>
      <c r="FM10" s="56">
        <f>FL10/FL$45%</f>
        <v/>
      </c>
      <c r="FN10" s="54" t="n"/>
      <c r="FO10" s="54" t="n"/>
      <c r="FP10" s="54" t="n"/>
      <c r="FQ10" s="54" t="n"/>
      <c r="FR10" s="54" t="n"/>
      <c r="FS10" s="54" t="n"/>
      <c r="FT10" s="54" t="n"/>
      <c r="FU10" s="54" t="n"/>
      <c r="FV10" s="54" t="n"/>
      <c r="FW10" s="54" t="n"/>
      <c r="FX10" s="54" t="n"/>
      <c r="FY10" s="54" t="n"/>
      <c r="FZ10" s="55">
        <f>SUM(FN10:FY10)</f>
        <v/>
      </c>
      <c r="GA10" s="56">
        <f>FZ10/FZ$45%</f>
        <v/>
      </c>
      <c r="GB10" s="54" t="n"/>
      <c r="GC10" s="54" t="n"/>
      <c r="GD10" s="54" t="n"/>
      <c r="GE10" s="54" t="n"/>
      <c r="GF10" s="54" t="n"/>
      <c r="GG10" s="54" t="n"/>
      <c r="GH10" s="54" t="n"/>
      <c r="GI10" s="54" t="n"/>
      <c r="GJ10" s="54" t="n"/>
      <c r="GK10" s="54" t="n"/>
      <c r="GL10" s="54" t="n"/>
      <c r="GM10" s="54" t="n"/>
      <c r="GN10" s="55">
        <f>SUM(GB10:GM10)</f>
        <v/>
      </c>
      <c r="GO10" s="56">
        <f>GN10/GN$45%</f>
        <v/>
      </c>
      <c r="GP10" s="54" t="n"/>
      <c r="GQ10" s="54" t="n"/>
      <c r="GR10" s="54" t="n"/>
      <c r="GS10" s="54" t="n"/>
      <c r="GT10" s="54" t="n"/>
      <c r="GU10" s="54" t="n"/>
      <c r="GV10" s="54" t="n"/>
      <c r="GW10" s="54" t="n"/>
      <c r="GX10" s="54" t="n"/>
      <c r="GY10" s="54" t="n"/>
      <c r="GZ10" s="54" t="n"/>
      <c r="HA10" s="54" t="n"/>
      <c r="HB10" s="55">
        <f>SUM(GP10:HA10)</f>
        <v/>
      </c>
      <c r="HC10" s="56">
        <f>HB10/HB$45%</f>
        <v/>
      </c>
      <c r="HD10" s="54" t="n"/>
      <c r="HE10" s="54" t="n"/>
      <c r="HF10" s="54" t="n"/>
      <c r="HG10" s="54" t="n"/>
      <c r="HH10" s="54" t="n"/>
      <c r="HI10" s="54" t="n"/>
      <c r="HJ10" s="54" t="n"/>
      <c r="HK10" s="54" t="n"/>
      <c r="HL10" s="54" t="n"/>
      <c r="HM10" s="54" t="n"/>
      <c r="HN10" s="54" t="n"/>
      <c r="HO10" s="54" t="n"/>
      <c r="HP10" s="55">
        <f>SUM(HD10:HO10)</f>
        <v/>
      </c>
      <c r="HQ10" s="56">
        <f>HP10/HP$45%</f>
        <v/>
      </c>
      <c r="HR10" s="54" t="n"/>
      <c r="HS10" s="54" t="n"/>
      <c r="HT10" s="54" t="n"/>
      <c r="HU10" s="54" t="n"/>
      <c r="HV10" s="54" t="n"/>
      <c r="HW10" s="54" t="n"/>
      <c r="HX10" s="54" t="n"/>
      <c r="HY10" s="54" t="n"/>
      <c r="HZ10" s="54" t="n"/>
      <c r="IA10" s="54" t="n"/>
      <c r="IB10" s="54" t="n"/>
      <c r="IC10" s="54" t="n"/>
      <c r="ID10" s="55">
        <f>SUM(HR10:IC10)</f>
        <v/>
      </c>
      <c r="IE10" s="56">
        <f>ID10/ID$45%</f>
        <v/>
      </c>
      <c r="IF10" s="54" t="n"/>
      <c r="IG10" s="54" t="n"/>
      <c r="IH10" s="54" t="n"/>
      <c r="II10" s="54" t="n"/>
      <c r="IJ10" s="54" t="n"/>
      <c r="IK10" s="54" t="n"/>
      <c r="IL10" s="54" t="n"/>
      <c r="IM10" s="54" t="n"/>
      <c r="IN10" s="54" t="n"/>
      <c r="IO10" s="54" t="n"/>
      <c r="IP10" s="54" t="n"/>
      <c r="IQ10" s="54" t="n"/>
      <c r="IR10" s="55">
        <f>SUM(IF10:IQ10)</f>
        <v/>
      </c>
      <c r="IS10" s="56">
        <f>IR10/IR$45%</f>
        <v/>
      </c>
      <c r="IT10" s="54" t="n"/>
      <c r="IU10" s="54" t="n"/>
      <c r="IV10" s="54" t="n"/>
      <c r="IW10" s="54" t="n"/>
      <c r="IX10" s="54" t="n"/>
      <c r="IY10" s="54" t="n"/>
      <c r="IZ10" s="54" t="n"/>
      <c r="JA10" s="54" t="n"/>
      <c r="JB10" s="54" t="n"/>
      <c r="JC10" s="54" t="n"/>
      <c r="JD10" s="54" t="n"/>
      <c r="JE10" s="54" t="n"/>
      <c r="JF10" s="55">
        <f>SUM(IT10:JE10)</f>
        <v/>
      </c>
      <c r="JG10" s="56">
        <f>JF10/JF$45%</f>
        <v/>
      </c>
      <c r="JH10" s="54" t="n"/>
      <c r="JI10" s="54" t="n"/>
      <c r="JJ10" s="54" t="n"/>
      <c r="JK10" s="54" t="n"/>
      <c r="JL10" s="54" t="n"/>
      <c r="JM10" s="54" t="n"/>
      <c r="JN10" s="54" t="n"/>
      <c r="JO10" s="54" t="n"/>
      <c r="JP10" s="54" t="n"/>
      <c r="JQ10" s="54" t="n"/>
      <c r="JR10" s="54" t="n"/>
      <c r="JS10" s="54" t="n"/>
      <c r="JT10" s="55">
        <f>SUM(JH10:JS10)</f>
        <v/>
      </c>
      <c r="JU10" s="56">
        <f>JT10/JT$45%</f>
        <v/>
      </c>
      <c r="JV10" s="54" t="n"/>
      <c r="JW10" s="54" t="n"/>
      <c r="JX10" s="54" t="n"/>
      <c r="JY10" s="54" t="n"/>
      <c r="JZ10" s="54" t="n"/>
      <c r="KA10" s="54" t="n"/>
      <c r="KB10" s="54" t="n"/>
      <c r="KC10" s="54" t="n"/>
      <c r="KD10" s="54" t="n"/>
      <c r="KE10" s="54" t="n"/>
      <c r="KF10" s="54" t="n"/>
      <c r="KG10" s="54" t="n"/>
      <c r="KH10" s="55">
        <f>SUM(JV10:KG10)</f>
        <v/>
      </c>
      <c r="KI10" s="56">
        <f>KH10/KH$45%</f>
        <v/>
      </c>
      <c r="KJ10" s="54" t="n"/>
      <c r="KK10" s="54" t="n"/>
      <c r="KL10" s="54" t="n"/>
      <c r="KM10" s="54" t="n"/>
      <c r="KN10" s="54" t="n"/>
      <c r="KO10" s="54" t="n"/>
      <c r="KP10" s="54" t="n"/>
      <c r="KQ10" s="54" t="n"/>
      <c r="KR10" s="54" t="n"/>
      <c r="KS10" s="54" t="n"/>
      <c r="KT10" s="54" t="n"/>
      <c r="KU10" s="54" t="n"/>
      <c r="KV10" s="55">
        <f>SUM(KJ10:KU10)</f>
        <v/>
      </c>
      <c r="KW10" s="56">
        <f>KV10/KV$45%</f>
        <v/>
      </c>
      <c r="KX10" s="78">
        <f>N10+AB10+AP10+BD10+BR10+CF10+CT10+DH10+DV10+EJ10+EX10+FZ10+GN10+HB10+HP10+ID10+IR10+JF10+KH10+KV10+JT10</f>
        <v/>
      </c>
      <c r="KY10" s="78">
        <f>KX10/KX$45%</f>
        <v/>
      </c>
    </row>
    <row r="11" ht="14.25" customFormat="1" customHeight="1" s="10">
      <c r="A11" s="17" t="inlineStr">
        <is>
          <t>2.1 เพราะสินค้าไม่ตรง Concept ที่ Mer หรือ ลูกค้า อยากได้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18">
        <f>SUM(B11:M11)</f>
        <v/>
      </c>
      <c r="O11" s="18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18">
        <f>SUM(P11:AA11)</f>
        <v/>
      </c>
      <c r="AC11" s="18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18">
        <f>SUM(AD11:AO11)</f>
        <v/>
      </c>
      <c r="AQ11" s="18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18">
        <f>SUM(AR11:BC11)</f>
        <v/>
      </c>
      <c r="BE11" s="18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18">
        <f>SUM(BF11:BQ11)</f>
        <v/>
      </c>
      <c r="BS11" s="18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18">
        <f>SUM(BT11:CE11)</f>
        <v/>
      </c>
      <c r="CG11" s="18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18">
        <f>SUM(CH11:CS11)</f>
        <v/>
      </c>
      <c r="CU11" s="18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18">
        <f>SUM(CV11:DG11)</f>
        <v/>
      </c>
      <c r="DI11" s="18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18">
        <f>SUM(DJ11:DU11)</f>
        <v/>
      </c>
      <c r="DW11" s="18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18">
        <f>SUM(DX11:EI11)</f>
        <v/>
      </c>
      <c r="EK11" s="18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18">
        <f>SUM(EL11:EW11)</f>
        <v/>
      </c>
      <c r="EY11" s="18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18">
        <f>SUM(EZ11:FK11)</f>
        <v/>
      </c>
      <c r="FM11" s="18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18">
        <f>SUM(FN11:FY11)</f>
        <v/>
      </c>
      <c r="GA11" s="18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18">
        <f>SUM(GB11:GM11)</f>
        <v/>
      </c>
      <c r="GO11" s="18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18">
        <f>SUM(GP11:HA11)</f>
        <v/>
      </c>
      <c r="HC11" s="18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18">
        <f>SUM(HD11:HO11)</f>
        <v/>
      </c>
      <c r="HQ11" s="18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18">
        <f>SUM(HR11:IC11)</f>
        <v/>
      </c>
      <c r="IE11" s="18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18">
        <f>SUM(IF11:IQ11)</f>
        <v/>
      </c>
      <c r="IS11" s="18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18">
        <f>SUM(IT11:JE11)</f>
        <v/>
      </c>
      <c r="JG11" s="18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18">
        <f>SUM(JH11:JS11)</f>
        <v/>
      </c>
      <c r="JU11" s="18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18">
        <f>SUM(JV11:KG11)</f>
        <v/>
      </c>
      <c r="KI11" s="18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18">
        <f>SUM(KJ11:KU11)</f>
        <v/>
      </c>
      <c r="KW11" s="18" t="n"/>
      <c r="KX11" s="783" t="n"/>
      <c r="KY11" s="76" t="n"/>
    </row>
    <row r="12" ht="14.25" customFormat="1" customHeight="1" s="10">
      <c r="A12" s="17" t="inlineStr">
        <is>
          <t>2.2 เพราะสินค้าไม่เหมือน BM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18">
        <f>SUM(B12:M12)</f>
        <v/>
      </c>
      <c r="O12" s="18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18">
        <f>SUM(P12:AA12)</f>
        <v/>
      </c>
      <c r="AC12" s="18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18">
        <f>SUM(AD12:AO12)</f>
        <v/>
      </c>
      <c r="AQ12" s="18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18">
        <f>SUM(AR12:BC12)</f>
        <v/>
      </c>
      <c r="BE12" s="18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18">
        <f>SUM(BF12:BQ12)</f>
        <v/>
      </c>
      <c r="BS12" s="18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18">
        <f>SUM(BT12:CE12)</f>
        <v/>
      </c>
      <c r="CG12" s="18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18">
        <f>SUM(CH12:CS12)</f>
        <v/>
      </c>
      <c r="CU12" s="18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18">
        <f>SUM(CV12:DG12)</f>
        <v/>
      </c>
      <c r="DI12" s="18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18">
        <f>SUM(DJ12:DU12)</f>
        <v/>
      </c>
      <c r="DW12" s="18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18">
        <f>SUM(DX12:EI12)</f>
        <v/>
      </c>
      <c r="EK12" s="18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18">
        <f>SUM(EL12:EW12)</f>
        <v/>
      </c>
      <c r="EY12" s="18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18">
        <f>SUM(EZ12:FK12)</f>
        <v/>
      </c>
      <c r="FM12" s="18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18">
        <f>SUM(FN12:FY12)</f>
        <v/>
      </c>
      <c r="GA12" s="18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18">
        <f>SUM(GB12:GM12)</f>
        <v/>
      </c>
      <c r="GO12" s="18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18">
        <f>SUM(GP12:HA12)</f>
        <v/>
      </c>
      <c r="HC12" s="18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18">
        <f>SUM(HD12:HO12)</f>
        <v/>
      </c>
      <c r="HQ12" s="18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18">
        <f>SUM(HR12:IC12)</f>
        <v/>
      </c>
      <c r="IE12" s="18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18">
        <f>SUM(IF12:IQ12)</f>
        <v/>
      </c>
      <c r="IS12" s="18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18">
        <f>SUM(IT12:JE12)</f>
        <v/>
      </c>
      <c r="JG12" s="18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18">
        <f>SUM(JH12:JS12)</f>
        <v/>
      </c>
      <c r="JU12" s="18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18">
        <f>SUM(JV12:KG12)</f>
        <v/>
      </c>
      <c r="KI12" s="18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18">
        <f>SUM(KJ12:KU12)</f>
        <v/>
      </c>
      <c r="KW12" s="18" t="n"/>
      <c r="KX12" s="783" t="n"/>
      <c r="KY12" s="76" t="n"/>
    </row>
    <row r="13" ht="14.25" customFormat="1" customHeight="1" s="10">
      <c r="A13" s="17" t="inlineStr">
        <is>
          <t>2.3 ใกล้เคียงกับสินค้าที่จำหน่าย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18">
        <f>SUM(B13:M13)</f>
        <v/>
      </c>
      <c r="O13" s="18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18">
        <f>SUM(P13:AA13)</f>
        <v/>
      </c>
      <c r="AC13" s="18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18">
        <f>SUM(AD13:AO13)</f>
        <v/>
      </c>
      <c r="AQ13" s="18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18">
        <f>SUM(AR13:BC13)</f>
        <v/>
      </c>
      <c r="BE13" s="18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18">
        <f>SUM(BF13:BQ13)</f>
        <v/>
      </c>
      <c r="BS13" s="18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18">
        <f>SUM(BT13:CE13)</f>
        <v/>
      </c>
      <c r="CG13" s="18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18">
        <f>SUM(CH13:CS13)</f>
        <v/>
      </c>
      <c r="CU13" s="18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18">
        <f>SUM(CV13:DG13)</f>
        <v/>
      </c>
      <c r="DI13" s="18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18">
        <f>SUM(DJ13:DU13)</f>
        <v/>
      </c>
      <c r="DW13" s="18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18">
        <f>SUM(DX13:EI13)</f>
        <v/>
      </c>
      <c r="EK13" s="18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18">
        <f>SUM(EL13:EW13)</f>
        <v/>
      </c>
      <c r="EY13" s="18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18">
        <f>SUM(EZ13:FK13)</f>
        <v/>
      </c>
      <c r="FM13" s="18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18">
        <f>SUM(FN13:FY13)</f>
        <v/>
      </c>
      <c r="GA13" s="18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18">
        <f>SUM(GB13:GM13)</f>
        <v/>
      </c>
      <c r="GO13" s="18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18">
        <f>SUM(GP13:HA13)</f>
        <v/>
      </c>
      <c r="HC13" s="18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18">
        <f>SUM(HD13:HO13)</f>
        <v/>
      </c>
      <c r="HQ13" s="18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18">
        <f>SUM(HR13:IC13)</f>
        <v/>
      </c>
      <c r="IE13" s="18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18">
        <f>SUM(IF13:IQ13)</f>
        <v/>
      </c>
      <c r="IS13" s="18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18">
        <f>SUM(IT13:JE13)</f>
        <v/>
      </c>
      <c r="JG13" s="18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18">
        <f>SUM(JH13:JS13)</f>
        <v/>
      </c>
      <c r="JU13" s="18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18">
        <f>SUM(JV13:KG13)</f>
        <v/>
      </c>
      <c r="KI13" s="18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18">
        <f>SUM(KJ13:KU13)</f>
        <v/>
      </c>
      <c r="KW13" s="18" t="n"/>
      <c r="KX13" s="783" t="n"/>
      <c r="KY13" s="76" t="n"/>
    </row>
    <row r="14" ht="14.25" customFormat="1" customHeight="1" s="10">
      <c r="A14" s="17" t="inlineStr">
        <is>
          <t>2.4 ราคาขายปลีกสูงเกินไป ไม่สามารถจำหน่ายได้ตามต้นทุน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18">
        <f>SUM(B14:M14)</f>
        <v/>
      </c>
      <c r="O14" s="18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18">
        <f>SUM(P14:AA14)</f>
        <v/>
      </c>
      <c r="AC14" s="18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18">
        <f>SUM(AD14:AO14)</f>
        <v/>
      </c>
      <c r="AQ14" s="18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18">
        <f>SUM(AR14:BC14)</f>
        <v/>
      </c>
      <c r="BE14" s="18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18">
        <f>SUM(BF14:BQ14)</f>
        <v/>
      </c>
      <c r="BS14" s="18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18">
        <f>SUM(BT14:CE14)</f>
        <v/>
      </c>
      <c r="CG14" s="18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18">
        <f>SUM(CH14:CS14)</f>
        <v/>
      </c>
      <c r="CU14" s="18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18">
        <f>SUM(CV14:DG14)</f>
        <v/>
      </c>
      <c r="DI14" s="18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18">
        <f>SUM(DJ14:DU14)</f>
        <v/>
      </c>
      <c r="DW14" s="18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18">
        <f>SUM(DX14:EI14)</f>
        <v/>
      </c>
      <c r="EK14" s="18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18">
        <f>SUM(EL14:EW14)</f>
        <v/>
      </c>
      <c r="EY14" s="18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18">
        <f>SUM(EZ14:FK14)</f>
        <v/>
      </c>
      <c r="FM14" s="18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18">
        <f>SUM(FN14:FY14)</f>
        <v/>
      </c>
      <c r="GA14" s="18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18">
        <f>SUM(GB14:GM14)</f>
        <v/>
      </c>
      <c r="GO14" s="18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18">
        <f>SUM(GP14:HA14)</f>
        <v/>
      </c>
      <c r="HC14" s="18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18">
        <f>SUM(HD14:HO14)</f>
        <v/>
      </c>
      <c r="HQ14" s="18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18">
        <f>SUM(HR14:IC14)</f>
        <v/>
      </c>
      <c r="IE14" s="18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18">
        <f>SUM(IF14:IQ14)</f>
        <v/>
      </c>
      <c r="IS14" s="18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18">
        <f>SUM(IT14:JE14)</f>
        <v/>
      </c>
      <c r="JG14" s="18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18">
        <f>SUM(JH14:JS14)</f>
        <v/>
      </c>
      <c r="JU14" s="18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18">
        <f>SUM(JV14:KG14)</f>
        <v/>
      </c>
      <c r="KI14" s="18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18">
        <f>SUM(KJ14:KU14)</f>
        <v/>
      </c>
      <c r="KW14" s="18" t="n"/>
      <c r="KX14" s="783" t="n"/>
      <c r="KY14" s="76" t="n"/>
    </row>
    <row r="15" ht="14.25" customFormat="1" customHeight="1" s="57">
      <c r="A15" s="53" t="inlineStr">
        <is>
          <t xml:space="preserve">3.ไม่มี Concept แต่เสนอสินค้าแล้วไม่ผ่าน </t>
        </is>
      </c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5">
        <f>SUM(B15:M15)</f>
        <v/>
      </c>
      <c r="O15" s="56">
        <f>N15/N$45%</f>
        <v/>
      </c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5">
        <f>SUM(P15:AA15)</f>
        <v/>
      </c>
      <c r="AC15" s="56">
        <f>AB15/AB$45%</f>
        <v/>
      </c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5">
        <f>SUM(AD15:AO15)</f>
        <v/>
      </c>
      <c r="AQ15" s="56">
        <f>AP15/AP$45%</f>
        <v/>
      </c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5">
        <f>SUM(AR15:BC15)</f>
        <v/>
      </c>
      <c r="BE15" s="56">
        <f>BD15/BD$45%</f>
        <v/>
      </c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5">
        <f>SUM(BF15:BQ15)</f>
        <v/>
      </c>
      <c r="BS15" s="56">
        <f>BR15/BR$45%</f>
        <v/>
      </c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5">
        <f>SUM(BT15:CE15)</f>
        <v/>
      </c>
      <c r="CG15" s="56">
        <f>CF15/CF$45%</f>
        <v/>
      </c>
      <c r="CH15" s="54" t="n"/>
      <c r="CI15" s="54" t="n"/>
      <c r="CJ15" s="54" t="n"/>
      <c r="CK15" s="54" t="n"/>
      <c r="CL15" s="54" t="n"/>
      <c r="CM15" s="54" t="n"/>
      <c r="CN15" s="54" t="n"/>
      <c r="CO15" s="54" t="n"/>
      <c r="CP15" s="54" t="n"/>
      <c r="CQ15" s="54" t="n"/>
      <c r="CR15" s="54" t="n"/>
      <c r="CS15" s="54" t="n"/>
      <c r="CT15" s="55">
        <f>SUM(CH15:CS15)</f>
        <v/>
      </c>
      <c r="CU15" s="56">
        <f>CT15/CT$45%</f>
        <v/>
      </c>
      <c r="CV15" s="54" t="n"/>
      <c r="CW15" s="54" t="n"/>
      <c r="CX15" s="54" t="n"/>
      <c r="CY15" s="54" t="n"/>
      <c r="CZ15" s="54" t="n"/>
      <c r="DA15" s="54" t="n"/>
      <c r="DB15" s="54" t="n"/>
      <c r="DC15" s="54" t="n"/>
      <c r="DD15" s="54" t="n"/>
      <c r="DE15" s="54" t="n"/>
      <c r="DF15" s="54" t="n"/>
      <c r="DG15" s="54" t="n"/>
      <c r="DH15" s="55">
        <f>SUM(CV15:DG15)</f>
        <v/>
      </c>
      <c r="DI15" s="56">
        <f>DH15/DH$45%</f>
        <v/>
      </c>
      <c r="DJ15" s="54" t="n"/>
      <c r="DK15" s="54" t="n"/>
      <c r="DL15" s="54" t="n"/>
      <c r="DM15" s="54" t="n"/>
      <c r="DN15" s="54" t="n"/>
      <c r="DO15" s="54" t="n"/>
      <c r="DP15" s="54" t="n"/>
      <c r="DQ15" s="54" t="n"/>
      <c r="DR15" s="54" t="n"/>
      <c r="DS15" s="54" t="n"/>
      <c r="DT15" s="54" t="n"/>
      <c r="DU15" s="54" t="n"/>
      <c r="DV15" s="55">
        <f>SUM(DJ15:DU15)</f>
        <v/>
      </c>
      <c r="DW15" s="56">
        <f>DV15/DV$45%</f>
        <v/>
      </c>
      <c r="DX15" s="54" t="n"/>
      <c r="DY15" s="54" t="n"/>
      <c r="DZ15" s="54" t="n"/>
      <c r="EA15" s="54" t="n"/>
      <c r="EB15" s="54" t="n"/>
      <c r="EC15" s="54" t="n"/>
      <c r="ED15" s="54" t="n"/>
      <c r="EE15" s="54" t="n"/>
      <c r="EF15" s="54" t="n"/>
      <c r="EG15" s="54" t="n"/>
      <c r="EH15" s="54" t="n"/>
      <c r="EI15" s="54" t="n"/>
      <c r="EJ15" s="55">
        <f>SUM(DX15:EI15)</f>
        <v/>
      </c>
      <c r="EK15" s="56">
        <f>EJ15/EJ$45%</f>
        <v/>
      </c>
      <c r="EL15" s="54" t="n"/>
      <c r="EM15" s="54" t="n"/>
      <c r="EN15" s="54" t="n"/>
      <c r="EO15" s="54" t="n"/>
      <c r="EP15" s="54" t="n"/>
      <c r="EQ15" s="54" t="n"/>
      <c r="ER15" s="54" t="n"/>
      <c r="ES15" s="54" t="n"/>
      <c r="ET15" s="54" t="n"/>
      <c r="EU15" s="54" t="n"/>
      <c r="EV15" s="54" t="n"/>
      <c r="EW15" s="54" t="n"/>
      <c r="EX15" s="55">
        <f>SUM(EL15:EW15)</f>
        <v/>
      </c>
      <c r="EY15" s="56">
        <f>EX15/EX$45%</f>
        <v/>
      </c>
      <c r="EZ15" s="54" t="n"/>
      <c r="FA15" s="54" t="n"/>
      <c r="FB15" s="54" t="n"/>
      <c r="FC15" s="54" t="n"/>
      <c r="FD15" s="54" t="n"/>
      <c r="FE15" s="54" t="n"/>
      <c r="FF15" s="54" t="n"/>
      <c r="FG15" s="54" t="n"/>
      <c r="FH15" s="54" t="n"/>
      <c r="FI15" s="54" t="n"/>
      <c r="FJ15" s="54" t="n"/>
      <c r="FK15" s="54" t="n"/>
      <c r="FL15" s="55">
        <f>SUM(EZ15:FK15)</f>
        <v/>
      </c>
      <c r="FM15" s="56">
        <f>FL15/FL$45%</f>
        <v/>
      </c>
      <c r="FN15" s="54" t="n"/>
      <c r="FO15" s="54" t="n"/>
      <c r="FP15" s="54" t="n"/>
      <c r="FQ15" s="54" t="n"/>
      <c r="FR15" s="54" t="n"/>
      <c r="FS15" s="54" t="n"/>
      <c r="FT15" s="54" t="n"/>
      <c r="FU15" s="54" t="n"/>
      <c r="FV15" s="54" t="n"/>
      <c r="FW15" s="54" t="n"/>
      <c r="FX15" s="54" t="n"/>
      <c r="FY15" s="54" t="n"/>
      <c r="FZ15" s="55">
        <f>SUM(FN15:FY15)</f>
        <v/>
      </c>
      <c r="GA15" s="56">
        <f>FZ15/FZ$45%</f>
        <v/>
      </c>
      <c r="GB15" s="54" t="n"/>
      <c r="GC15" s="54" t="n"/>
      <c r="GD15" s="54" t="n"/>
      <c r="GE15" s="54" t="n"/>
      <c r="GF15" s="54" t="n"/>
      <c r="GG15" s="54" t="n"/>
      <c r="GH15" s="54" t="n"/>
      <c r="GI15" s="54" t="n"/>
      <c r="GJ15" s="54" t="n"/>
      <c r="GK15" s="54" t="n"/>
      <c r="GL15" s="54" t="n"/>
      <c r="GM15" s="54" t="n"/>
      <c r="GN15" s="55">
        <f>SUM(GB15:GM15)</f>
        <v/>
      </c>
      <c r="GO15" s="56">
        <f>GN15/GN$45%</f>
        <v/>
      </c>
      <c r="GP15" s="54" t="n"/>
      <c r="GQ15" s="54" t="n"/>
      <c r="GR15" s="54" t="n"/>
      <c r="GS15" s="54" t="n"/>
      <c r="GT15" s="54" t="n"/>
      <c r="GU15" s="54" t="n"/>
      <c r="GV15" s="54" t="n"/>
      <c r="GW15" s="54" t="n"/>
      <c r="GX15" s="54" t="n"/>
      <c r="GY15" s="54" t="n"/>
      <c r="GZ15" s="54" t="n"/>
      <c r="HA15" s="54" t="n"/>
      <c r="HB15" s="55">
        <f>SUM(GP15:HA15)</f>
        <v/>
      </c>
      <c r="HC15" s="56">
        <f>HB15/HB$45%</f>
        <v/>
      </c>
      <c r="HD15" s="54" t="n"/>
      <c r="HE15" s="54" t="n"/>
      <c r="HF15" s="54" t="n"/>
      <c r="HG15" s="54" t="n"/>
      <c r="HH15" s="54" t="n"/>
      <c r="HI15" s="54" t="n"/>
      <c r="HJ15" s="54" t="n"/>
      <c r="HK15" s="54" t="n"/>
      <c r="HL15" s="54" t="n"/>
      <c r="HM15" s="54" t="n"/>
      <c r="HN15" s="54" t="n"/>
      <c r="HO15" s="54" t="n"/>
      <c r="HP15" s="55">
        <f>SUM(HD15:HO15)</f>
        <v/>
      </c>
      <c r="HQ15" s="56">
        <f>HP15/HP$45%</f>
        <v/>
      </c>
      <c r="HR15" s="54" t="n"/>
      <c r="HS15" s="54" t="n"/>
      <c r="HT15" s="54" t="n"/>
      <c r="HU15" s="54" t="n"/>
      <c r="HV15" s="54" t="n"/>
      <c r="HW15" s="54" t="n"/>
      <c r="HX15" s="54" t="n"/>
      <c r="HY15" s="54" t="n"/>
      <c r="HZ15" s="54" t="n"/>
      <c r="IA15" s="54" t="n"/>
      <c r="IB15" s="54" t="n"/>
      <c r="IC15" s="54" t="n"/>
      <c r="ID15" s="55">
        <f>SUM(HR15:IC15)</f>
        <v/>
      </c>
      <c r="IE15" s="56">
        <f>ID15/ID$45%</f>
        <v/>
      </c>
      <c r="IF15" s="54" t="n"/>
      <c r="IG15" s="54" t="n"/>
      <c r="IH15" s="54" t="n"/>
      <c r="II15" s="54" t="n"/>
      <c r="IJ15" s="54" t="n"/>
      <c r="IK15" s="54" t="n"/>
      <c r="IL15" s="54" t="n"/>
      <c r="IM15" s="54" t="n"/>
      <c r="IN15" s="54" t="n"/>
      <c r="IO15" s="54" t="n"/>
      <c r="IP15" s="54" t="n"/>
      <c r="IQ15" s="54" t="n"/>
      <c r="IR15" s="55">
        <f>SUM(IF15:IQ15)</f>
        <v/>
      </c>
      <c r="IS15" s="56">
        <f>IR15/IR$45%</f>
        <v/>
      </c>
      <c r="IT15" s="54" t="n"/>
      <c r="IU15" s="54" t="n"/>
      <c r="IV15" s="54" t="n"/>
      <c r="IW15" s="54" t="n"/>
      <c r="IX15" s="54" t="n"/>
      <c r="IY15" s="54" t="n"/>
      <c r="IZ15" s="54" t="n"/>
      <c r="JA15" s="54" t="n"/>
      <c r="JB15" s="54" t="n"/>
      <c r="JC15" s="54" t="n"/>
      <c r="JD15" s="54" t="n"/>
      <c r="JE15" s="54" t="n"/>
      <c r="JF15" s="55">
        <f>SUM(IT15:JE15)</f>
        <v/>
      </c>
      <c r="JG15" s="56">
        <f>JF15/JF$45%</f>
        <v/>
      </c>
      <c r="JH15" s="54" t="n"/>
      <c r="JI15" s="54" t="n"/>
      <c r="JJ15" s="54" t="n"/>
      <c r="JK15" s="54" t="n"/>
      <c r="JL15" s="54" t="n"/>
      <c r="JM15" s="54" t="n"/>
      <c r="JN15" s="54" t="n"/>
      <c r="JO15" s="54" t="n"/>
      <c r="JP15" s="54" t="n"/>
      <c r="JQ15" s="54" t="n"/>
      <c r="JR15" s="54" t="n"/>
      <c r="JS15" s="54" t="n"/>
      <c r="JT15" s="55">
        <f>SUM(JH15:JS15)</f>
        <v/>
      </c>
      <c r="JU15" s="56">
        <f>JT15/JT$45%</f>
        <v/>
      </c>
      <c r="JV15" s="54" t="n"/>
      <c r="JW15" s="54" t="n"/>
      <c r="JX15" s="54" t="n"/>
      <c r="JY15" s="54" t="n"/>
      <c r="JZ15" s="54" t="n"/>
      <c r="KA15" s="54" t="n"/>
      <c r="KB15" s="54" t="n"/>
      <c r="KC15" s="54" t="n"/>
      <c r="KD15" s="54" t="n"/>
      <c r="KE15" s="54" t="n"/>
      <c r="KF15" s="54" t="n"/>
      <c r="KG15" s="54" t="n"/>
      <c r="KH15" s="55">
        <f>SUM(JV15:KG15)</f>
        <v/>
      </c>
      <c r="KI15" s="56">
        <f>KH15/KH$45%</f>
        <v/>
      </c>
      <c r="KJ15" s="54" t="n"/>
      <c r="KK15" s="54" t="n"/>
      <c r="KL15" s="54" t="n"/>
      <c r="KM15" s="54" t="n"/>
      <c r="KN15" s="54" t="n"/>
      <c r="KO15" s="54" t="n"/>
      <c r="KP15" s="54" t="n"/>
      <c r="KQ15" s="54" t="n"/>
      <c r="KR15" s="54" t="n"/>
      <c r="KS15" s="54" t="n"/>
      <c r="KT15" s="54" t="n"/>
      <c r="KU15" s="54" t="n"/>
      <c r="KV15" s="55">
        <f>SUM(KJ15:KU15)</f>
        <v/>
      </c>
      <c r="KW15" s="56">
        <f>KV15/KV$45%</f>
        <v/>
      </c>
      <c r="KX15" s="78">
        <f>N15+AB15+AP15+BD15+BR15+CF15+CT15+DH15+DV15+EJ15+EX15+FZ15+GN15+HB15+HP15+ID15+IR15+JF15+KH15+KV15+JT15</f>
        <v/>
      </c>
      <c r="KY15" s="78">
        <f>KX15/KX$45%</f>
        <v/>
      </c>
    </row>
    <row r="16" ht="14.25" customFormat="1" customHeight="1" s="16">
      <c r="A16" s="12" t="inlineStr">
        <is>
          <t>4.ไม่ผ่านในขั้นตอน Screen Test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4">
        <f>SUM(B16:M16)</f>
        <v/>
      </c>
      <c r="O16" s="15">
        <f>N16/N$45%</f>
        <v/>
      </c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4">
        <f>SUM(P16:AA16)</f>
        <v/>
      </c>
      <c r="AC16" s="15">
        <f>AB16/AB$45%</f>
        <v/>
      </c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4">
        <f>SUM(AD16:AO16)</f>
        <v/>
      </c>
      <c r="AQ16" s="15">
        <f>AP16/AP$45%</f>
        <v/>
      </c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4">
        <f>SUM(AR16:BC16)</f>
        <v/>
      </c>
      <c r="BE16" s="15">
        <f>BD16/BD$45%</f>
        <v/>
      </c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4">
        <f>SUM(BF16:BQ16)</f>
        <v/>
      </c>
      <c r="BS16" s="15">
        <f>BR16/BR$45%</f>
        <v/>
      </c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D16" s="13" t="n"/>
      <c r="CE16" s="13" t="n"/>
      <c r="CF16" s="14">
        <f>SUM(BT16:CE16)</f>
        <v/>
      </c>
      <c r="CG16" s="15">
        <f>CF16/CF$45%</f>
        <v/>
      </c>
      <c r="CH16" s="13" t="n"/>
      <c r="CI16" s="13" t="n"/>
      <c r="CJ16" s="13" t="n"/>
      <c r="CK16" s="13" t="n"/>
      <c r="CL16" s="13" t="n"/>
      <c r="CM16" s="13" t="n"/>
      <c r="CN16" s="13" t="n"/>
      <c r="CO16" s="13" t="n"/>
      <c r="CP16" s="13" t="n"/>
      <c r="CQ16" s="13" t="n"/>
      <c r="CR16" s="13" t="n"/>
      <c r="CS16" s="13" t="n"/>
      <c r="CT16" s="14">
        <f>SUM(CH16:CS16)</f>
        <v/>
      </c>
      <c r="CU16" s="15">
        <f>CT16/CT$45%</f>
        <v/>
      </c>
      <c r="CV16" s="13" t="n"/>
      <c r="CW16" s="13" t="n"/>
      <c r="CX16" s="13" t="n"/>
      <c r="CY16" s="13" t="n"/>
      <c r="CZ16" s="13" t="n"/>
      <c r="DA16" s="13" t="n"/>
      <c r="DB16" s="13" t="n"/>
      <c r="DC16" s="13" t="n"/>
      <c r="DD16" s="13" t="n"/>
      <c r="DE16" s="13" t="n"/>
      <c r="DF16" s="13" t="n"/>
      <c r="DG16" s="13" t="n"/>
      <c r="DH16" s="14">
        <f>SUM(CV16:DG16)</f>
        <v/>
      </c>
      <c r="DI16" s="15">
        <f>DH16/DH$45%</f>
        <v/>
      </c>
      <c r="DJ16" s="13" t="n"/>
      <c r="DK16" s="13" t="n"/>
      <c r="DL16" s="13" t="n"/>
      <c r="DM16" s="13" t="n"/>
      <c r="DN16" s="13" t="n"/>
      <c r="DO16" s="13" t="n"/>
      <c r="DP16" s="13" t="n"/>
      <c r="DQ16" s="13" t="n"/>
      <c r="DR16" s="13" t="n"/>
      <c r="DS16" s="13" t="n"/>
      <c r="DT16" s="13" t="n"/>
      <c r="DU16" s="13" t="n"/>
      <c r="DV16" s="14">
        <f>SUM(DJ16:DU16)</f>
        <v/>
      </c>
      <c r="DW16" s="15">
        <f>DV16/DV$45%</f>
        <v/>
      </c>
      <c r="DX16" s="13" t="n"/>
      <c r="DY16" s="13" t="n"/>
      <c r="DZ16" s="13" t="n"/>
      <c r="EA16" s="13" t="n"/>
      <c r="EB16" s="13" t="n"/>
      <c r="EC16" s="13" t="n"/>
      <c r="ED16" s="13" t="n"/>
      <c r="EE16" s="13" t="n"/>
      <c r="EF16" s="13" t="n"/>
      <c r="EG16" s="13" t="n"/>
      <c r="EH16" s="13" t="n"/>
      <c r="EI16" s="13" t="n"/>
      <c r="EJ16" s="14">
        <f>SUM(DX16:EI16)</f>
        <v/>
      </c>
      <c r="EK16" s="15">
        <f>EJ16/EJ$45%</f>
        <v/>
      </c>
      <c r="EL16" s="13" t="n"/>
      <c r="EM16" s="13" t="n"/>
      <c r="EN16" s="13" t="n"/>
      <c r="EO16" s="13" t="n"/>
      <c r="EP16" s="13" t="n"/>
      <c r="EQ16" s="13" t="n"/>
      <c r="ER16" s="13" t="n"/>
      <c r="ES16" s="13" t="n"/>
      <c r="ET16" s="13" t="n"/>
      <c r="EU16" s="13" t="n"/>
      <c r="EV16" s="13" t="n"/>
      <c r="EW16" s="13" t="n"/>
      <c r="EX16" s="14">
        <f>SUM(EL16:EW16)</f>
        <v/>
      </c>
      <c r="EY16" s="15">
        <f>EX16/EX$45%</f>
        <v/>
      </c>
      <c r="EZ16" s="13" t="n"/>
      <c r="FA16" s="13" t="n"/>
      <c r="FB16" s="13" t="n"/>
      <c r="FC16" s="13" t="n"/>
      <c r="FD16" s="13" t="n"/>
      <c r="FE16" s="13" t="n"/>
      <c r="FF16" s="13" t="n"/>
      <c r="FG16" s="13" t="n"/>
      <c r="FH16" s="13" t="n"/>
      <c r="FI16" s="13" t="n"/>
      <c r="FJ16" s="13" t="n"/>
      <c r="FK16" s="13" t="n"/>
      <c r="FL16" s="14">
        <f>SUM(EZ16:FK16)</f>
        <v/>
      </c>
      <c r="FM16" s="15">
        <f>FL16/FL$45%</f>
        <v/>
      </c>
      <c r="FN16" s="13" t="n"/>
      <c r="FO16" s="13" t="n"/>
      <c r="FP16" s="13" t="n"/>
      <c r="FQ16" s="13" t="n"/>
      <c r="FR16" s="13" t="n"/>
      <c r="FS16" s="13" t="n"/>
      <c r="FT16" s="13" t="n"/>
      <c r="FU16" s="13" t="n"/>
      <c r="FV16" s="13" t="n"/>
      <c r="FW16" s="13" t="n"/>
      <c r="FX16" s="13" t="n"/>
      <c r="FY16" s="13" t="n"/>
      <c r="FZ16" s="14">
        <f>SUM(FN16:FY16)</f>
        <v/>
      </c>
      <c r="GA16" s="15">
        <f>FZ16/FZ$45%</f>
        <v/>
      </c>
      <c r="GB16" s="13" t="n"/>
      <c r="GC16" s="13" t="n"/>
      <c r="GD16" s="13" t="n"/>
      <c r="GE16" s="13" t="n"/>
      <c r="GF16" s="13" t="n"/>
      <c r="GG16" s="13" t="n"/>
      <c r="GH16" s="13" t="n"/>
      <c r="GI16" s="13" t="n"/>
      <c r="GJ16" s="13" t="n"/>
      <c r="GK16" s="13" t="n"/>
      <c r="GL16" s="13" t="n"/>
      <c r="GM16" s="13" t="n"/>
      <c r="GN16" s="14">
        <f>SUM(GB16:GM16)</f>
        <v/>
      </c>
      <c r="GO16" s="15">
        <f>GN16/GN$45%</f>
        <v/>
      </c>
      <c r="GP16" s="13" t="n"/>
      <c r="GQ16" s="13" t="n"/>
      <c r="GR16" s="13" t="n"/>
      <c r="GS16" s="13" t="n"/>
      <c r="GT16" s="13" t="n"/>
      <c r="GU16" s="13" t="n"/>
      <c r="GV16" s="13" t="n"/>
      <c r="GW16" s="13" t="n"/>
      <c r="GX16" s="13" t="n"/>
      <c r="GY16" s="13" t="n"/>
      <c r="GZ16" s="13" t="n"/>
      <c r="HA16" s="13" t="n"/>
      <c r="HB16" s="14">
        <f>SUM(GP16:HA16)</f>
        <v/>
      </c>
      <c r="HC16" s="15">
        <f>HB16/HB$45%</f>
        <v/>
      </c>
      <c r="HD16" s="13" t="n"/>
      <c r="HE16" s="13" t="n"/>
      <c r="HF16" s="13" t="n"/>
      <c r="HG16" s="13" t="n"/>
      <c r="HH16" s="13" t="n"/>
      <c r="HI16" s="13" t="n"/>
      <c r="HJ16" s="13" t="n"/>
      <c r="HK16" s="13" t="n"/>
      <c r="HL16" s="13" t="n"/>
      <c r="HM16" s="13" t="n"/>
      <c r="HN16" s="13" t="n"/>
      <c r="HO16" s="13" t="n"/>
      <c r="HP16" s="14">
        <f>SUM(HD16:HO16)</f>
        <v/>
      </c>
      <c r="HQ16" s="15">
        <f>HP16/HP$45%</f>
        <v/>
      </c>
      <c r="HR16" s="13" t="n"/>
      <c r="HS16" s="13" t="n"/>
      <c r="HT16" s="13" t="n"/>
      <c r="HU16" s="13" t="n"/>
      <c r="HV16" s="13" t="n"/>
      <c r="HW16" s="13" t="n"/>
      <c r="HX16" s="13" t="n"/>
      <c r="HY16" s="13" t="n"/>
      <c r="HZ16" s="13" t="n"/>
      <c r="IA16" s="13" t="n"/>
      <c r="IB16" s="13" t="n"/>
      <c r="IC16" s="13" t="n"/>
      <c r="ID16" s="14">
        <f>SUM(HR16:IC16)</f>
        <v/>
      </c>
      <c r="IE16" s="15">
        <f>ID16/ID$45%</f>
        <v/>
      </c>
      <c r="IF16" s="13" t="n"/>
      <c r="IG16" s="13" t="n"/>
      <c r="IH16" s="13" t="n"/>
      <c r="II16" s="13" t="n"/>
      <c r="IJ16" s="13" t="n"/>
      <c r="IK16" s="13" t="n"/>
      <c r="IL16" s="13" t="n"/>
      <c r="IM16" s="13" t="n"/>
      <c r="IN16" s="13" t="n"/>
      <c r="IO16" s="13" t="n"/>
      <c r="IP16" s="13" t="n"/>
      <c r="IQ16" s="13" t="n"/>
      <c r="IR16" s="14">
        <f>SUM(IF16:IQ16)</f>
        <v/>
      </c>
      <c r="IS16" s="15">
        <f>IR16/IR$45%</f>
        <v/>
      </c>
      <c r="IT16" s="13" t="n"/>
      <c r="IU16" s="13" t="n"/>
      <c r="IV16" s="13" t="n"/>
      <c r="IW16" s="13" t="n"/>
      <c r="IX16" s="13" t="n"/>
      <c r="IY16" s="13" t="n"/>
      <c r="IZ16" s="13" t="n"/>
      <c r="JA16" s="13" t="n"/>
      <c r="JB16" s="13" t="n"/>
      <c r="JC16" s="13" t="n"/>
      <c r="JD16" s="13" t="n"/>
      <c r="JE16" s="13" t="n"/>
      <c r="JF16" s="14">
        <f>SUM(IT16:JE16)</f>
        <v/>
      </c>
      <c r="JG16" s="15">
        <f>JF16/JF$45%</f>
        <v/>
      </c>
      <c r="JH16" s="13" t="n"/>
      <c r="JI16" s="13" t="n"/>
      <c r="JJ16" s="13" t="n"/>
      <c r="JK16" s="13" t="n"/>
      <c r="JL16" s="13" t="n"/>
      <c r="JM16" s="13" t="n"/>
      <c r="JN16" s="13" t="n"/>
      <c r="JO16" s="13" t="n"/>
      <c r="JP16" s="13" t="n"/>
      <c r="JQ16" s="13" t="n"/>
      <c r="JR16" s="13" t="n"/>
      <c r="JS16" s="13" t="n"/>
      <c r="JT16" s="14">
        <f>SUM(JH16:JS16)</f>
        <v/>
      </c>
      <c r="JU16" s="15">
        <f>JT16/JT$45%</f>
        <v/>
      </c>
      <c r="JV16" s="13" t="n"/>
      <c r="JW16" s="13" t="n"/>
      <c r="JX16" s="13" t="n"/>
      <c r="JY16" s="13" t="n"/>
      <c r="JZ16" s="13" t="n"/>
      <c r="KA16" s="13" t="n"/>
      <c r="KB16" s="13" t="n"/>
      <c r="KC16" s="13" t="n"/>
      <c r="KD16" s="13" t="n"/>
      <c r="KE16" s="13" t="n"/>
      <c r="KF16" s="13" t="n"/>
      <c r="KG16" s="13" t="n"/>
      <c r="KH16" s="14">
        <f>SUM(JV16:KG16)</f>
        <v/>
      </c>
      <c r="KI16" s="15">
        <f>KH16/KH$45%</f>
        <v/>
      </c>
      <c r="KJ16" s="13" t="n"/>
      <c r="KK16" s="13" t="n"/>
      <c r="KL16" s="13" t="n"/>
      <c r="KM16" s="13" t="n"/>
      <c r="KN16" s="13" t="n"/>
      <c r="KO16" s="13" t="n"/>
      <c r="KP16" s="13" t="n"/>
      <c r="KQ16" s="13" t="n"/>
      <c r="KR16" s="13" t="n"/>
      <c r="KS16" s="13" t="n"/>
      <c r="KT16" s="13" t="n"/>
      <c r="KU16" s="13" t="n"/>
      <c r="KV16" s="14">
        <f>SUM(KJ16:KU16)</f>
        <v/>
      </c>
      <c r="KW16" s="15">
        <f>KV16/KV$45%</f>
        <v/>
      </c>
      <c r="KX16" s="78">
        <f>N16+AB16+AP16+BD16+BR16+CF16+CT16+DH16+DV16+EJ16+EX16+FZ16+GN16+HB16+HP16+ID16+IR16+JF16+KH16+KV16+JT16</f>
        <v/>
      </c>
      <c r="KY16" s="78">
        <f>KX16/KX$45%</f>
        <v/>
      </c>
    </row>
    <row r="17" ht="14.25" customFormat="1" customHeight="1" s="10">
      <c r="A17" s="17" t="inlineStr">
        <is>
          <t>4.1 ต้นทุนวัตถุดิบไม่ผ่าน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18">
        <f>SUM(B17:M17)</f>
        <v/>
      </c>
      <c r="O17" s="59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18">
        <f>SUM(P17:AA17)</f>
        <v/>
      </c>
      <c r="AC17" s="59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18">
        <f>SUM(AD17:AO17)</f>
        <v/>
      </c>
      <c r="AQ17" s="59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18">
        <f>SUM(AR17:BC17)</f>
        <v/>
      </c>
      <c r="BE17" s="59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18">
        <f>SUM(BF17:BQ17)</f>
        <v/>
      </c>
      <c r="BS17" s="59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18">
        <f>SUM(BT17:CE17)</f>
        <v/>
      </c>
      <c r="CG17" s="59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18">
        <f>SUM(CH17:CS17)</f>
        <v/>
      </c>
      <c r="CU17" s="59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18">
        <f>SUM(CV17:DG17)</f>
        <v/>
      </c>
      <c r="DI17" s="59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18">
        <f>SUM(DJ17:DU17)</f>
        <v/>
      </c>
      <c r="DW17" s="59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18">
        <f>SUM(DX17:EI17)</f>
        <v/>
      </c>
      <c r="EK17" s="59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18">
        <f>SUM(EL17:EW17)</f>
        <v/>
      </c>
      <c r="EY17" s="59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18">
        <f>SUM(EZ17:FK17)</f>
        <v/>
      </c>
      <c r="FM17" s="59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18">
        <f>SUM(FN17:FY17)</f>
        <v/>
      </c>
      <c r="GA17" s="59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18">
        <f>SUM(GB17:GM17)</f>
        <v/>
      </c>
      <c r="GO17" s="59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18">
        <f>SUM(GP17:HA17)</f>
        <v/>
      </c>
      <c r="HC17" s="59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18">
        <f>SUM(HD17:HO17)</f>
        <v/>
      </c>
      <c r="HQ17" s="59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18">
        <f>SUM(HR17:IC17)</f>
        <v/>
      </c>
      <c r="IE17" s="59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18">
        <f>SUM(IF17:IQ17)</f>
        <v/>
      </c>
      <c r="IS17" s="59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18">
        <f>SUM(IT17:JE17)</f>
        <v/>
      </c>
      <c r="JG17" s="59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18">
        <f>SUM(JH17:JS17)</f>
        <v/>
      </c>
      <c r="JU17" s="59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18">
        <f>SUM(JV17:KG17)</f>
        <v/>
      </c>
      <c r="KI17" s="59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18">
        <f>SUM(KJ17:KU17)</f>
        <v/>
      </c>
      <c r="KW17" s="59" t="n"/>
      <c r="KX17" s="81" t="n"/>
      <c r="KY17" s="76" t="n"/>
    </row>
    <row r="18" ht="14.25" customFormat="1" customHeight="1" s="10">
      <c r="A18" s="17" t="inlineStr">
        <is>
          <t>4.2 ต้นทุนแรงงานไม่ผ่าน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18">
        <f>SUM(B18:M18)</f>
        <v/>
      </c>
      <c r="O18" s="59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18">
        <f>SUM(P18:AA18)</f>
        <v/>
      </c>
      <c r="AC18" s="59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18">
        <f>SUM(AD18:AO18)</f>
        <v/>
      </c>
      <c r="AQ18" s="59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18">
        <f>SUM(AR18:BC18)</f>
        <v/>
      </c>
      <c r="BE18" s="59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18">
        <f>SUM(BF18:BQ18)</f>
        <v/>
      </c>
      <c r="BS18" s="59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18">
        <f>SUM(BT18:CE18)</f>
        <v/>
      </c>
      <c r="CG18" s="59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18">
        <f>SUM(CH18:CS18)</f>
        <v/>
      </c>
      <c r="CU18" s="59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18">
        <f>SUM(CV18:DG18)</f>
        <v/>
      </c>
      <c r="DI18" s="59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18">
        <f>SUM(DJ18:DU18)</f>
        <v/>
      </c>
      <c r="DW18" s="59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18">
        <f>SUM(DX18:EI18)</f>
        <v/>
      </c>
      <c r="EK18" s="59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18">
        <f>SUM(EL18:EW18)</f>
        <v/>
      </c>
      <c r="EY18" s="59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18">
        <f>SUM(EZ18:FK18)</f>
        <v/>
      </c>
      <c r="FM18" s="59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18">
        <f>SUM(FN18:FY18)</f>
        <v/>
      </c>
      <c r="GA18" s="59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18">
        <f>SUM(GB18:GM18)</f>
        <v/>
      </c>
      <c r="GO18" s="59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18">
        <f>SUM(GP18:HA18)</f>
        <v/>
      </c>
      <c r="HC18" s="59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18">
        <f>SUM(HD18:HO18)</f>
        <v/>
      </c>
      <c r="HQ18" s="59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18">
        <f>SUM(HR18:IC18)</f>
        <v/>
      </c>
      <c r="IE18" s="59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18">
        <f>SUM(IF18:IQ18)</f>
        <v/>
      </c>
      <c r="IS18" s="59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18">
        <f>SUM(IT18:JE18)</f>
        <v/>
      </c>
      <c r="JG18" s="59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18">
        <f>SUM(JH18:JS18)</f>
        <v/>
      </c>
      <c r="JU18" s="59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18">
        <f>SUM(JV18:KG18)</f>
        <v/>
      </c>
      <c r="KI18" s="59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18">
        <f>SUM(KJ18:KU18)</f>
        <v/>
      </c>
      <c r="KW18" s="59" t="n"/>
      <c r="KX18" s="81" t="n"/>
      <c r="KY18" s="76" t="n"/>
    </row>
    <row r="19" ht="14.25" customFormat="1" customHeight="1" s="10">
      <c r="A19" s="17" t="inlineStr">
        <is>
          <t>4.3 ต้นทุน packaging ไม่ผ่าน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18">
        <f>SUM(B19:M19)</f>
        <v/>
      </c>
      <c r="O19" s="58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18">
        <f>SUM(P19:AA19)</f>
        <v/>
      </c>
      <c r="AC19" s="58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18">
        <f>SUM(AD19:AO19)</f>
        <v/>
      </c>
      <c r="AQ19" s="58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18">
        <f>SUM(AR19:BC19)</f>
        <v/>
      </c>
      <c r="BE19" s="58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18">
        <f>SUM(BF19:BQ19)</f>
        <v/>
      </c>
      <c r="BS19" s="58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18">
        <f>SUM(BT19:CE19)</f>
        <v/>
      </c>
      <c r="CG19" s="58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18">
        <f>SUM(CH19:CS19)</f>
        <v/>
      </c>
      <c r="CU19" s="58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18">
        <f>SUM(CV19:DG19)</f>
        <v/>
      </c>
      <c r="DI19" s="58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18">
        <f>SUM(DJ19:DU19)</f>
        <v/>
      </c>
      <c r="DW19" s="58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18">
        <f>SUM(DX19:EI19)</f>
        <v/>
      </c>
      <c r="EK19" s="58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18">
        <f>SUM(EL19:EW19)</f>
        <v/>
      </c>
      <c r="EY19" s="58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18">
        <f>SUM(EZ19:FK19)</f>
        <v/>
      </c>
      <c r="FM19" s="58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18">
        <f>SUM(FN19:FY19)</f>
        <v/>
      </c>
      <c r="GA19" s="58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18">
        <f>SUM(GB19:GM19)</f>
        <v/>
      </c>
      <c r="GO19" s="58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18">
        <f>SUM(GP19:HA19)</f>
        <v/>
      </c>
      <c r="HC19" s="58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18">
        <f>SUM(HD19:HO19)</f>
        <v/>
      </c>
      <c r="HQ19" s="58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18">
        <f>SUM(HR19:IC19)</f>
        <v/>
      </c>
      <c r="IE19" s="58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18">
        <f>SUM(IF19:IQ19)</f>
        <v/>
      </c>
      <c r="IS19" s="58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18">
        <f>SUM(IT19:JE19)</f>
        <v/>
      </c>
      <c r="JG19" s="58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18">
        <f>SUM(JH19:JS19)</f>
        <v/>
      </c>
      <c r="JU19" s="58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18">
        <f>SUM(JV19:KG19)</f>
        <v/>
      </c>
      <c r="KI19" s="58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18">
        <f>SUM(KJ19:KU19)</f>
        <v/>
      </c>
      <c r="KW19" s="58" t="n"/>
      <c r="KX19" s="80" t="n"/>
      <c r="KY19" s="76" t="n"/>
    </row>
    <row r="20" ht="14.25" customFormat="1" customHeight="1" s="10">
      <c r="A20" s="17" t="inlineStr">
        <is>
          <t>4.4 วัตถุดิบ supply ไม่เพียงพอ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18">
        <f>SUM(B20:M20)</f>
        <v/>
      </c>
      <c r="O20" s="58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18">
        <f>SUM(P20:AA20)</f>
        <v/>
      </c>
      <c r="AC20" s="58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18">
        <f>SUM(AD20:AO20)</f>
        <v/>
      </c>
      <c r="AQ20" s="58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18">
        <f>SUM(AR20:BC20)</f>
        <v/>
      </c>
      <c r="BE20" s="58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18">
        <f>SUM(BF20:BQ20)</f>
        <v/>
      </c>
      <c r="BS20" s="58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18">
        <f>SUM(BT20:CE20)</f>
        <v/>
      </c>
      <c r="CG20" s="58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18">
        <f>SUM(CH20:CS20)</f>
        <v/>
      </c>
      <c r="CU20" s="58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18">
        <f>SUM(CV20:DG20)</f>
        <v/>
      </c>
      <c r="DI20" s="58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18">
        <f>SUM(DJ20:DU20)</f>
        <v/>
      </c>
      <c r="DW20" s="58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18">
        <f>SUM(DX20:EI20)</f>
        <v/>
      </c>
      <c r="EK20" s="58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18">
        <f>SUM(EL20:EW20)</f>
        <v/>
      </c>
      <c r="EY20" s="58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18">
        <f>SUM(EZ20:FK20)</f>
        <v/>
      </c>
      <c r="FM20" s="58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18">
        <f>SUM(FN20:FY20)</f>
        <v/>
      </c>
      <c r="GA20" s="58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18">
        <f>SUM(GB20:GM20)</f>
        <v/>
      </c>
      <c r="GO20" s="58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18">
        <f>SUM(GP20:HA20)</f>
        <v/>
      </c>
      <c r="HC20" s="58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18">
        <f>SUM(HD20:HO20)</f>
        <v/>
      </c>
      <c r="HQ20" s="58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18">
        <f>SUM(HR20:IC20)</f>
        <v/>
      </c>
      <c r="IE20" s="58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18">
        <f>SUM(IF20:IQ20)</f>
        <v/>
      </c>
      <c r="IS20" s="58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18">
        <f>SUM(IT20:JE20)</f>
        <v/>
      </c>
      <c r="JG20" s="58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18">
        <f>SUM(JH20:JS20)</f>
        <v/>
      </c>
      <c r="JU20" s="58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18">
        <f>SUM(JV20:KG20)</f>
        <v/>
      </c>
      <c r="KI20" s="58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18">
        <f>SUM(KJ20:KU20)</f>
        <v/>
      </c>
      <c r="KW20" s="58" t="n"/>
      <c r="KX20" s="80" t="n"/>
      <c r="KY20" s="76" t="n"/>
    </row>
    <row r="21" ht="14.25" customFormat="1" customHeight="1" s="10">
      <c r="A21" s="17" t="inlineStr">
        <is>
          <t>4.5 วัตถุดิบพบปัญหาคุณภาพ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18">
        <f>SUM(B21:M21)</f>
        <v/>
      </c>
      <c r="O21" s="58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18">
        <f>SUM(P21:AA21)</f>
        <v/>
      </c>
      <c r="AC21" s="58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18">
        <f>SUM(AD21:AO21)</f>
        <v/>
      </c>
      <c r="AQ21" s="58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18">
        <f>SUM(AR21:BC21)</f>
        <v/>
      </c>
      <c r="BE21" s="58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18">
        <f>SUM(BF21:BQ21)</f>
        <v/>
      </c>
      <c r="BS21" s="58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18">
        <f>SUM(BT21:CE21)</f>
        <v/>
      </c>
      <c r="CG21" s="58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18">
        <f>SUM(CH21:CS21)</f>
        <v/>
      </c>
      <c r="CU21" s="58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18">
        <f>SUM(CV21:DG21)</f>
        <v/>
      </c>
      <c r="DI21" s="58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18">
        <f>SUM(DJ21:DU21)</f>
        <v/>
      </c>
      <c r="DW21" s="58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18">
        <f>SUM(DX21:EI21)</f>
        <v/>
      </c>
      <c r="EK21" s="58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18">
        <f>SUM(EL21:EW21)</f>
        <v/>
      </c>
      <c r="EY21" s="58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18">
        <f>SUM(EZ21:FK21)</f>
        <v/>
      </c>
      <c r="FM21" s="58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18">
        <f>SUM(FN21:FY21)</f>
        <v/>
      </c>
      <c r="GA21" s="58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18">
        <f>SUM(GB21:GM21)</f>
        <v/>
      </c>
      <c r="GO21" s="58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18">
        <f>SUM(GP21:HA21)</f>
        <v/>
      </c>
      <c r="HC21" s="58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18">
        <f>SUM(HD21:HO21)</f>
        <v/>
      </c>
      <c r="HQ21" s="58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18">
        <f>SUM(HR21:IC21)</f>
        <v/>
      </c>
      <c r="IE21" s="58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18">
        <f>SUM(IF21:IQ21)</f>
        <v/>
      </c>
      <c r="IS21" s="58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18">
        <f>SUM(IT21:JE21)</f>
        <v/>
      </c>
      <c r="JG21" s="58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18">
        <f>SUM(JH21:JS21)</f>
        <v/>
      </c>
      <c r="JU21" s="58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18">
        <f>SUM(JV21:KG21)</f>
        <v/>
      </c>
      <c r="KI21" s="58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18">
        <f>SUM(KJ21:KU21)</f>
        <v/>
      </c>
      <c r="KW21" s="58" t="n"/>
      <c r="KX21" s="80" t="n"/>
      <c r="KY21" s="76" t="n"/>
    </row>
    <row r="22" ht="14.25" customFormat="1" customHeight="1" s="10">
      <c r="A22" s="17" t="inlineStr">
        <is>
          <t>4.6 Mer/ลูกค้าขอยกเลิกขาย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18">
        <f>SUM(B22:M22)</f>
        <v/>
      </c>
      <c r="O22" s="58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18">
        <f>SUM(P22:AA22)</f>
        <v/>
      </c>
      <c r="AC22" s="58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18">
        <f>SUM(AD22:AO22)</f>
        <v/>
      </c>
      <c r="AQ22" s="58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18">
        <f>SUM(AR22:BC22)</f>
        <v/>
      </c>
      <c r="BE22" s="58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18">
        <f>SUM(BF22:BQ22)</f>
        <v/>
      </c>
      <c r="BS22" s="58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18">
        <f>SUM(BT22:CE22)</f>
        <v/>
      </c>
      <c r="CG22" s="58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18">
        <f>SUM(CH22:CS22)</f>
        <v/>
      </c>
      <c r="CU22" s="58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18">
        <f>SUM(CV22:DG22)</f>
        <v/>
      </c>
      <c r="DI22" s="58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18">
        <f>SUM(DJ22:DU22)</f>
        <v/>
      </c>
      <c r="DW22" s="58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18">
        <f>SUM(DX22:EI22)</f>
        <v/>
      </c>
      <c r="EK22" s="58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18">
        <f>SUM(EL22:EW22)</f>
        <v/>
      </c>
      <c r="EY22" s="58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18">
        <f>SUM(EZ22:FK22)</f>
        <v/>
      </c>
      <c r="FM22" s="58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18">
        <f>SUM(FN22:FY22)</f>
        <v/>
      </c>
      <c r="GA22" s="58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18">
        <f>SUM(GB22:GM22)</f>
        <v/>
      </c>
      <c r="GO22" s="58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18">
        <f>SUM(GP22:HA22)</f>
        <v/>
      </c>
      <c r="HC22" s="58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18">
        <f>SUM(HD22:HO22)</f>
        <v/>
      </c>
      <c r="HQ22" s="58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18">
        <f>SUM(HR22:IC22)</f>
        <v/>
      </c>
      <c r="IE22" s="58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18">
        <f>SUM(IF22:IQ22)</f>
        <v/>
      </c>
      <c r="IS22" s="58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18">
        <f>SUM(IT22:JE22)</f>
        <v/>
      </c>
      <c r="JG22" s="58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18">
        <f>SUM(JH22:JS22)</f>
        <v/>
      </c>
      <c r="JU22" s="58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18">
        <f>SUM(JV22:KG22)</f>
        <v/>
      </c>
      <c r="KI22" s="58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18">
        <f>SUM(KJ22:KU22)</f>
        <v/>
      </c>
      <c r="KW22" s="58" t="n"/>
      <c r="KX22" s="80" t="n"/>
      <c r="KY22" s="76" t="n"/>
    </row>
    <row r="23" ht="14.25" customFormat="1" customHeight="1" s="16">
      <c r="A23" s="12" t="inlineStr">
        <is>
          <t>5.Mer/ลูกค้าขอยกเลิก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4">
        <f>SUM(B23:M23)</f>
        <v/>
      </c>
      <c r="O23" s="15">
        <f>N23/N$45%</f>
        <v/>
      </c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4">
        <f>SUM(P23:AA23)</f>
        <v/>
      </c>
      <c r="AC23" s="15">
        <f>AB23/AB$45%</f>
        <v/>
      </c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4">
        <f>SUM(AD23:AO23)</f>
        <v/>
      </c>
      <c r="AQ23" s="15">
        <f>AP23/AP$45%</f>
        <v/>
      </c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4">
        <f>SUM(AR23:BC23)</f>
        <v/>
      </c>
      <c r="BE23" s="15">
        <f>BD23/BD$45%</f>
        <v/>
      </c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4">
        <f>SUM(BF23:BQ23)</f>
        <v/>
      </c>
      <c r="BS23" s="15">
        <f>BR23/BR$45%</f>
        <v/>
      </c>
      <c r="BT23" s="13" t="n"/>
      <c r="BU23" s="13" t="n"/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4">
        <f>SUM(BT23:CE23)</f>
        <v/>
      </c>
      <c r="CG23" s="15">
        <f>CF23/CF$45%</f>
        <v/>
      </c>
      <c r="CH23" s="13" t="n"/>
      <c r="CI23" s="13" t="n"/>
      <c r="CJ23" s="13" t="n"/>
      <c r="CK23" s="13" t="n"/>
      <c r="CL23" s="13" t="n"/>
      <c r="CM23" s="13" t="n"/>
      <c r="CN23" s="13" t="n"/>
      <c r="CO23" s="13" t="n"/>
      <c r="CP23" s="13" t="n"/>
      <c r="CQ23" s="13" t="n"/>
      <c r="CR23" s="13" t="n"/>
      <c r="CS23" s="13" t="n"/>
      <c r="CT23" s="14">
        <f>SUM(CH23:CS23)</f>
        <v/>
      </c>
      <c r="CU23" s="15">
        <f>CT23/CT$45%</f>
        <v/>
      </c>
      <c r="CV23" s="13" t="n"/>
      <c r="CW23" s="13" t="n"/>
      <c r="CX23" s="13" t="n"/>
      <c r="CY23" s="13" t="n"/>
      <c r="CZ23" s="13" t="n"/>
      <c r="DA23" s="13" t="n"/>
      <c r="DB23" s="13" t="n"/>
      <c r="DC23" s="13" t="n"/>
      <c r="DD23" s="13" t="n"/>
      <c r="DE23" s="13" t="n"/>
      <c r="DF23" s="13" t="n"/>
      <c r="DG23" s="13" t="n"/>
      <c r="DH23" s="14">
        <f>SUM(CV23:DG23)</f>
        <v/>
      </c>
      <c r="DI23" s="15">
        <f>DH23/DH$45%</f>
        <v/>
      </c>
      <c r="DJ23" s="13" t="n"/>
      <c r="DK23" s="13" t="n"/>
      <c r="DL23" s="13" t="n"/>
      <c r="DM23" s="13" t="n"/>
      <c r="DN23" s="13" t="n"/>
      <c r="DO23" s="13" t="n"/>
      <c r="DP23" s="13" t="n"/>
      <c r="DQ23" s="13" t="n"/>
      <c r="DR23" s="13" t="n"/>
      <c r="DS23" s="13" t="n"/>
      <c r="DT23" s="13" t="n"/>
      <c r="DU23" s="13" t="n"/>
      <c r="DV23" s="14">
        <f>SUM(DJ23:DU23)</f>
        <v/>
      </c>
      <c r="DW23" s="15">
        <f>DV23/DV$45%</f>
        <v/>
      </c>
      <c r="DX23" s="13" t="n"/>
      <c r="DY23" s="13" t="n"/>
      <c r="DZ23" s="13" t="n"/>
      <c r="EA23" s="13" t="n"/>
      <c r="EB23" s="13" t="n"/>
      <c r="EC23" s="13" t="n"/>
      <c r="ED23" s="13" t="n"/>
      <c r="EE23" s="13" t="n"/>
      <c r="EF23" s="13" t="n"/>
      <c r="EG23" s="13" t="n"/>
      <c r="EH23" s="13" t="n"/>
      <c r="EI23" s="13" t="n"/>
      <c r="EJ23" s="14">
        <f>SUM(DX23:EI23)</f>
        <v/>
      </c>
      <c r="EK23" s="15">
        <f>EJ23/EJ$45%</f>
        <v/>
      </c>
      <c r="EL23" s="13" t="n"/>
      <c r="EM23" s="13" t="n"/>
      <c r="EN23" s="13" t="n"/>
      <c r="EO23" s="13" t="n"/>
      <c r="EP23" s="13" t="n"/>
      <c r="EQ23" s="13" t="n"/>
      <c r="ER23" s="13" t="n"/>
      <c r="ES23" s="13" t="n"/>
      <c r="ET23" s="13" t="n"/>
      <c r="EU23" s="13" t="n"/>
      <c r="EV23" s="13" t="n"/>
      <c r="EW23" s="13" t="n"/>
      <c r="EX23" s="14">
        <f>SUM(EL23:EW23)</f>
        <v/>
      </c>
      <c r="EY23" s="15">
        <f>EX23/EX$45%</f>
        <v/>
      </c>
      <c r="EZ23" s="13" t="n"/>
      <c r="FA23" s="13" t="n"/>
      <c r="FB23" s="13" t="n"/>
      <c r="FC23" s="13" t="n"/>
      <c r="FD23" s="13" t="n"/>
      <c r="FE23" s="13" t="n"/>
      <c r="FF23" s="13" t="n"/>
      <c r="FG23" s="13" t="n"/>
      <c r="FH23" s="13" t="n"/>
      <c r="FI23" s="13" t="n"/>
      <c r="FJ23" s="13" t="n"/>
      <c r="FK23" s="13" t="n"/>
      <c r="FL23" s="14">
        <f>SUM(EZ23:FK23)</f>
        <v/>
      </c>
      <c r="FM23" s="15">
        <f>FL23/FL$45%</f>
        <v/>
      </c>
      <c r="FN23" s="13" t="n"/>
      <c r="FO23" s="13" t="n"/>
      <c r="FP23" s="13" t="n"/>
      <c r="FQ23" s="13" t="n"/>
      <c r="FR23" s="13" t="n"/>
      <c r="FS23" s="13" t="n"/>
      <c r="FT23" s="13" t="n"/>
      <c r="FU23" s="13" t="n"/>
      <c r="FV23" s="13" t="n"/>
      <c r="FW23" s="13" t="n"/>
      <c r="FX23" s="13" t="n"/>
      <c r="FY23" s="13" t="n"/>
      <c r="FZ23" s="14">
        <f>SUM(FN23:FY23)</f>
        <v/>
      </c>
      <c r="GA23" s="15">
        <f>FZ23/FZ$45%</f>
        <v/>
      </c>
      <c r="GB23" s="13" t="n"/>
      <c r="GC23" s="13" t="n"/>
      <c r="GD23" s="13" t="n"/>
      <c r="GE23" s="13" t="n"/>
      <c r="GF23" s="13" t="n"/>
      <c r="GG23" s="13" t="n"/>
      <c r="GH23" s="13" t="n"/>
      <c r="GI23" s="13" t="n"/>
      <c r="GJ23" s="13" t="n"/>
      <c r="GK23" s="13" t="n"/>
      <c r="GL23" s="13" t="n"/>
      <c r="GM23" s="13" t="n"/>
      <c r="GN23" s="14">
        <f>SUM(GB23:GM23)</f>
        <v/>
      </c>
      <c r="GO23" s="15">
        <f>GN23/GN$45%</f>
        <v/>
      </c>
      <c r="GP23" s="13" t="n"/>
      <c r="GQ23" s="13" t="n"/>
      <c r="GR23" s="13" t="n"/>
      <c r="GS23" s="13" t="n"/>
      <c r="GT23" s="13" t="n"/>
      <c r="GU23" s="13" t="n"/>
      <c r="GV23" s="13" t="n"/>
      <c r="GW23" s="13" t="n"/>
      <c r="GX23" s="13" t="n"/>
      <c r="GY23" s="13" t="n"/>
      <c r="GZ23" s="13" t="n"/>
      <c r="HA23" s="13" t="n"/>
      <c r="HB23" s="14">
        <f>SUM(GP23:HA23)</f>
        <v/>
      </c>
      <c r="HC23" s="15">
        <f>HB23/HB$45%</f>
        <v/>
      </c>
      <c r="HD23" s="13" t="n"/>
      <c r="HE23" s="13" t="n"/>
      <c r="HF23" s="13" t="n"/>
      <c r="HG23" s="13" t="n"/>
      <c r="HH23" s="13" t="n"/>
      <c r="HI23" s="13" t="n"/>
      <c r="HJ23" s="13" t="n"/>
      <c r="HK23" s="13" t="n"/>
      <c r="HL23" s="13" t="n"/>
      <c r="HM23" s="13" t="n"/>
      <c r="HN23" s="13" t="n"/>
      <c r="HO23" s="13" t="n"/>
      <c r="HP23" s="14">
        <f>SUM(HD23:HO23)</f>
        <v/>
      </c>
      <c r="HQ23" s="15">
        <f>HP23/HP$45%</f>
        <v/>
      </c>
      <c r="HR23" s="13" t="n"/>
      <c r="HS23" s="13" t="n"/>
      <c r="HT23" s="13" t="n"/>
      <c r="HU23" s="13" t="n"/>
      <c r="HV23" s="13" t="n"/>
      <c r="HW23" s="13" t="n"/>
      <c r="HX23" s="13" t="n"/>
      <c r="HY23" s="13" t="n"/>
      <c r="HZ23" s="13" t="n"/>
      <c r="IA23" s="13" t="n"/>
      <c r="IB23" s="13" t="n"/>
      <c r="IC23" s="13" t="n"/>
      <c r="ID23" s="14">
        <f>SUM(HR23:IC23)</f>
        <v/>
      </c>
      <c r="IE23" s="15">
        <f>ID23/ID$45%</f>
        <v/>
      </c>
      <c r="IF23" s="13" t="n"/>
      <c r="IG23" s="13" t="n"/>
      <c r="IH23" s="13" t="n"/>
      <c r="II23" s="13" t="n"/>
      <c r="IJ23" s="13" t="n"/>
      <c r="IK23" s="13" t="n"/>
      <c r="IL23" s="13" t="n"/>
      <c r="IM23" s="13" t="n"/>
      <c r="IN23" s="13" t="n"/>
      <c r="IO23" s="13" t="n"/>
      <c r="IP23" s="13" t="n"/>
      <c r="IQ23" s="13" t="n"/>
      <c r="IR23" s="14">
        <f>SUM(IF23:IQ23)</f>
        <v/>
      </c>
      <c r="IS23" s="15">
        <f>IR23/IR$45%</f>
        <v/>
      </c>
      <c r="IT23" s="13" t="n"/>
      <c r="IU23" s="13" t="n"/>
      <c r="IV23" s="13" t="n"/>
      <c r="IW23" s="13" t="n"/>
      <c r="IX23" s="13" t="n"/>
      <c r="IY23" s="13" t="n"/>
      <c r="IZ23" s="13" t="n"/>
      <c r="JA23" s="13" t="n"/>
      <c r="JB23" s="13" t="n"/>
      <c r="JC23" s="13" t="n"/>
      <c r="JD23" s="13" t="n"/>
      <c r="JE23" s="13" t="n"/>
      <c r="JF23" s="14">
        <f>SUM(IT23:JE23)</f>
        <v/>
      </c>
      <c r="JG23" s="15">
        <f>JF23/JF$45%</f>
        <v/>
      </c>
      <c r="JH23" s="13" t="n"/>
      <c r="JI23" s="13" t="n"/>
      <c r="JJ23" s="13" t="n"/>
      <c r="JK23" s="13" t="n"/>
      <c r="JL23" s="13" t="n"/>
      <c r="JM23" s="13" t="n"/>
      <c r="JN23" s="13" t="n"/>
      <c r="JO23" s="13" t="n"/>
      <c r="JP23" s="13" t="n"/>
      <c r="JQ23" s="13" t="n"/>
      <c r="JR23" s="13" t="n"/>
      <c r="JS23" s="13" t="n"/>
      <c r="JT23" s="14">
        <f>SUM(JH23:JS23)</f>
        <v/>
      </c>
      <c r="JU23" s="15">
        <f>JT23/JT$45%</f>
        <v/>
      </c>
      <c r="JV23" s="13" t="n"/>
      <c r="JW23" s="13" t="n"/>
      <c r="JX23" s="13" t="n"/>
      <c r="JY23" s="13" t="n"/>
      <c r="JZ23" s="13" t="n"/>
      <c r="KA23" s="13" t="n"/>
      <c r="KB23" s="13" t="n">
        <v>1</v>
      </c>
      <c r="KC23" s="13" t="n"/>
      <c r="KD23" s="13" t="n"/>
      <c r="KE23" s="13" t="n"/>
      <c r="KF23" s="13" t="n"/>
      <c r="KG23" s="13" t="n"/>
      <c r="KH23" s="14">
        <f>SUM(JV23:KG23)</f>
        <v/>
      </c>
      <c r="KI23" s="15">
        <f>KH23/KH$45%</f>
        <v/>
      </c>
      <c r="KJ23" s="13" t="n"/>
      <c r="KK23" s="13" t="n"/>
      <c r="KL23" s="13" t="n"/>
      <c r="KM23" s="13" t="n"/>
      <c r="KN23" s="13" t="n"/>
      <c r="KO23" s="13" t="n"/>
      <c r="KP23" s="13" t="n">
        <v>1</v>
      </c>
      <c r="KQ23" s="13" t="n"/>
      <c r="KR23" s="13" t="n"/>
      <c r="KS23" s="13" t="n"/>
      <c r="KT23" s="13" t="n"/>
      <c r="KU23" s="13" t="n"/>
      <c r="KV23" s="14">
        <f>SUM(KJ23:KU23)</f>
        <v/>
      </c>
      <c r="KW23" s="15">
        <f>KV23/KV$45%</f>
        <v/>
      </c>
      <c r="KX23" s="78">
        <f>N23+AB23+AP23+BD23+BR23+CF23+CT23+DH23+DV23+EJ23+EX23+FZ23+GN23+HB23+HP23+ID23+IR23+JF23+KH23+KV23+JT23</f>
        <v/>
      </c>
      <c r="KY23" s="78">
        <f>KX23/KX$45%</f>
        <v/>
      </c>
    </row>
    <row r="24" ht="14.25" customFormat="1" customHeight="1" s="10">
      <c r="A24" s="17" t="inlineStr">
        <is>
          <t>5.1 เพราะราคา RM สูง ทำให้ราคาขายสูง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18">
        <f>SUM(B24:M24)</f>
        <v/>
      </c>
      <c r="O24" s="18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18">
        <f>SUM(P24:AA24)</f>
        <v/>
      </c>
      <c r="AC24" s="18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18">
        <f>SUM(AD24:AO24)</f>
        <v/>
      </c>
      <c r="AQ24" s="18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18">
        <f>SUM(AR24:BC24)</f>
        <v/>
      </c>
      <c r="BE24" s="18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18">
        <f>SUM(BF24:BQ24)</f>
        <v/>
      </c>
      <c r="BS24" s="18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18">
        <f>SUM(BT24:CE24)</f>
        <v/>
      </c>
      <c r="CG24" s="18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18">
        <f>SUM(CH24:CS24)</f>
        <v/>
      </c>
      <c r="CU24" s="18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18">
        <f>SUM(CV24:DG24)</f>
        <v/>
      </c>
      <c r="DI24" s="18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18">
        <f>SUM(DJ24:DU24)</f>
        <v/>
      </c>
      <c r="DW24" s="18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18">
        <f>SUM(DX24:EI24)</f>
        <v/>
      </c>
      <c r="EK24" s="18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18">
        <f>SUM(EL24:EW24)</f>
        <v/>
      </c>
      <c r="EY24" s="18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18">
        <f>SUM(EZ24:FK24)</f>
        <v/>
      </c>
      <c r="FM24" s="18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18">
        <f>SUM(FN24:FY24)</f>
        <v/>
      </c>
      <c r="GA24" s="18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18">
        <f>SUM(GB24:GM24)</f>
        <v/>
      </c>
      <c r="GO24" s="18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18">
        <f>SUM(GP24:HA24)</f>
        <v/>
      </c>
      <c r="HC24" s="18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18">
        <f>SUM(HD24:HO24)</f>
        <v/>
      </c>
      <c r="HQ24" s="18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18">
        <f>SUM(HR24:IC24)</f>
        <v/>
      </c>
      <c r="IE24" s="18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18">
        <f>SUM(IF24:IQ24)</f>
        <v/>
      </c>
      <c r="IS24" s="18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18">
        <f>SUM(IT24:JE24)</f>
        <v/>
      </c>
      <c r="JG24" s="18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18">
        <f>SUM(JH24:JS24)</f>
        <v/>
      </c>
      <c r="JU24" s="18" t="n"/>
      <c r="JV24" s="7" t="n"/>
      <c r="JW24" s="7" t="n"/>
      <c r="JX24" s="7" t="n"/>
      <c r="JY24" s="7" t="n"/>
      <c r="JZ24" s="7" t="n"/>
      <c r="KA24" s="7" t="n"/>
      <c r="KB24" s="7" t="n">
        <v>1</v>
      </c>
      <c r="KC24" s="7" t="n"/>
      <c r="KD24" s="7" t="n"/>
      <c r="KE24" s="7" t="n"/>
      <c r="KF24" s="7" t="n"/>
      <c r="KG24" s="7" t="n"/>
      <c r="KH24" s="18">
        <f>SUM(JV24:KG24)</f>
        <v/>
      </c>
      <c r="KI24" s="18" t="n"/>
      <c r="KJ24" s="7" t="n"/>
      <c r="KK24" s="7" t="n"/>
      <c r="KL24" s="7" t="n"/>
      <c r="KM24" s="7" t="n"/>
      <c r="KN24" s="7" t="n"/>
      <c r="KO24" s="7" t="n"/>
      <c r="KP24" s="7" t="n">
        <v>1</v>
      </c>
      <c r="KQ24" s="7" t="n"/>
      <c r="KR24" s="7" t="n"/>
      <c r="KS24" s="7" t="n"/>
      <c r="KT24" s="7" t="n"/>
      <c r="KU24" s="7" t="n"/>
      <c r="KV24" s="18">
        <f>SUM(KJ24:KU24)</f>
        <v/>
      </c>
      <c r="KW24" s="18" t="n"/>
      <c r="KX24" s="783" t="n"/>
      <c r="KY24" s="76" t="n"/>
    </row>
    <row r="25" ht="14.25" customFormat="1" customHeight="1" s="10">
      <c r="A25" s="17" t="inlineStr">
        <is>
          <t>5.2 เพราะเลื่อนขาย ราคาขายปลีกสูง (ช่วงโควิด)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18">
        <f>SUM(B25:M25)</f>
        <v/>
      </c>
      <c r="O25" s="18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18">
        <f>SUM(P25:AA25)</f>
        <v/>
      </c>
      <c r="AC25" s="18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18">
        <f>SUM(AD25:AO25)</f>
        <v/>
      </c>
      <c r="AQ25" s="18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18">
        <f>SUM(AR25:BC25)</f>
        <v/>
      </c>
      <c r="BE25" s="18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18">
        <f>SUM(BF25:BQ25)</f>
        <v/>
      </c>
      <c r="BS25" s="18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18">
        <f>SUM(BT25:CE25)</f>
        <v/>
      </c>
      <c r="CG25" s="18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18">
        <f>SUM(CH25:CS25)</f>
        <v/>
      </c>
      <c r="CU25" s="18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18">
        <f>SUM(CV25:DG25)</f>
        <v/>
      </c>
      <c r="DI25" s="18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18">
        <f>SUM(DJ25:DU25)</f>
        <v/>
      </c>
      <c r="DW25" s="18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18">
        <f>SUM(DX25:EI25)</f>
        <v/>
      </c>
      <c r="EK25" s="18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18">
        <f>SUM(EL25:EW25)</f>
        <v/>
      </c>
      <c r="EY25" s="18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18">
        <f>SUM(EZ25:FK25)</f>
        <v/>
      </c>
      <c r="FM25" s="18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18">
        <f>SUM(FN25:FY25)</f>
        <v/>
      </c>
      <c r="GA25" s="18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18">
        <f>SUM(GB25:GM25)</f>
        <v/>
      </c>
      <c r="GO25" s="18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18">
        <f>SUM(GP25:HA25)</f>
        <v/>
      </c>
      <c r="HC25" s="18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18">
        <f>SUM(HD25:HO25)</f>
        <v/>
      </c>
      <c r="HQ25" s="18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18">
        <f>SUM(HR25:IC25)</f>
        <v/>
      </c>
      <c r="IE25" s="18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18">
        <f>SUM(IF25:IQ25)</f>
        <v/>
      </c>
      <c r="IS25" s="18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18">
        <f>SUM(IT25:JE25)</f>
        <v/>
      </c>
      <c r="JG25" s="18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18">
        <f>SUM(JH25:JS25)</f>
        <v/>
      </c>
      <c r="JU25" s="18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18">
        <f>SUM(JV25:KG25)</f>
        <v/>
      </c>
      <c r="KI25" s="18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18">
        <f>SUM(KJ25:KU25)</f>
        <v/>
      </c>
      <c r="KW25" s="18" t="n"/>
      <c r="KX25" s="783" t="n"/>
      <c r="KY25" s="76" t="n"/>
    </row>
    <row r="26" ht="13.5" customFormat="1" customHeight="1" s="10">
      <c r="A26" s="68" t="inlineStr">
        <is>
          <t>5.3 เพราะชิมเทียบ Control แล้ว ไม่ต้องการ IMP ระหว่าง Sensory Test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18">
        <f>SUM(B26:M26)</f>
        <v/>
      </c>
      <c r="O26" s="18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18">
        <f>SUM(P26:AA26)</f>
        <v/>
      </c>
      <c r="AC26" s="18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18">
        <f>SUM(AD26:AO26)</f>
        <v/>
      </c>
      <c r="AQ26" s="18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18">
        <f>SUM(AR26:BC26)</f>
        <v/>
      </c>
      <c r="BE26" s="18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18">
        <f>SUM(BF26:BQ26)</f>
        <v/>
      </c>
      <c r="BS26" s="18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18">
        <f>SUM(BT26:CE26)</f>
        <v/>
      </c>
      <c r="CG26" s="18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18">
        <f>SUM(CH26:CS26)</f>
        <v/>
      </c>
      <c r="CU26" s="18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18">
        <f>SUM(CV26:DG26)</f>
        <v/>
      </c>
      <c r="DI26" s="18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18">
        <f>SUM(DJ26:DU26)</f>
        <v/>
      </c>
      <c r="DW26" s="18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18">
        <f>SUM(DX26:EI26)</f>
        <v/>
      </c>
      <c r="EK26" s="18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18">
        <f>SUM(EL26:EW26)</f>
        <v/>
      </c>
      <c r="EY26" s="18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18">
        <f>SUM(EZ26:FK26)</f>
        <v/>
      </c>
      <c r="FM26" s="18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18">
        <f>SUM(FN26:FY26)</f>
        <v/>
      </c>
      <c r="GA26" s="18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18">
        <f>SUM(GB26:GM26)</f>
        <v/>
      </c>
      <c r="GO26" s="18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18">
        <f>SUM(GP26:HA26)</f>
        <v/>
      </c>
      <c r="HC26" s="18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18">
        <f>SUM(HD26:HO26)</f>
        <v/>
      </c>
      <c r="HQ26" s="18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18">
        <f>SUM(HR26:IC26)</f>
        <v/>
      </c>
      <c r="IE26" s="18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18">
        <f>SUM(IF26:IQ26)</f>
        <v/>
      </c>
      <c r="IS26" s="18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18">
        <f>SUM(IT26:JE26)</f>
        <v/>
      </c>
      <c r="JG26" s="18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18">
        <f>SUM(JH26:JS26)</f>
        <v/>
      </c>
      <c r="JU26" s="18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18">
        <f>SUM(JV26:KG26)</f>
        <v/>
      </c>
      <c r="KI26" s="18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18">
        <f>SUM(KJ26:KU26)</f>
        <v/>
      </c>
      <c r="KW26" s="18" t="n"/>
      <c r="KX26" s="783" t="n"/>
      <c r="KY26" s="76" t="n"/>
    </row>
    <row r="27" ht="14.25" customFormat="1" customHeight="1" s="10">
      <c r="A27" s="17" t="inlineStr">
        <is>
          <t>5.4 เพราะเปลี่ยน Concept ใหม่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18">
        <f>SUM(B27:M27)</f>
        <v/>
      </c>
      <c r="O27" s="18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18">
        <f>SUM(P27:AA27)</f>
        <v/>
      </c>
      <c r="AC27" s="18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18">
        <f>SUM(AD27:AO27)</f>
        <v/>
      </c>
      <c r="AQ27" s="18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18">
        <f>SUM(AR27:BC27)</f>
        <v/>
      </c>
      <c r="BE27" s="18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18">
        <f>SUM(BF27:BQ27)</f>
        <v/>
      </c>
      <c r="BS27" s="18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18">
        <f>SUM(BT27:CE27)</f>
        <v/>
      </c>
      <c r="CG27" s="18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18">
        <f>SUM(CH27:CS27)</f>
        <v/>
      </c>
      <c r="CU27" s="18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18">
        <f>SUM(CV27:DG27)</f>
        <v/>
      </c>
      <c r="DI27" s="18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18">
        <f>SUM(DJ27:DU27)</f>
        <v/>
      </c>
      <c r="DW27" s="18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18">
        <f>SUM(DX27:EI27)</f>
        <v/>
      </c>
      <c r="EK27" s="18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18">
        <f>SUM(EL27:EW27)</f>
        <v/>
      </c>
      <c r="EY27" s="18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18">
        <f>SUM(EZ27:FK27)</f>
        <v/>
      </c>
      <c r="FM27" s="18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18">
        <f>SUM(FN27:FY27)</f>
        <v/>
      </c>
      <c r="GA27" s="18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18">
        <f>SUM(GB27:GM27)</f>
        <v/>
      </c>
      <c r="GO27" s="18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18">
        <f>SUM(GP27:HA27)</f>
        <v/>
      </c>
      <c r="HC27" s="18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18">
        <f>SUM(HD27:HO27)</f>
        <v/>
      </c>
      <c r="HQ27" s="18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18">
        <f>SUM(HR27:IC27)</f>
        <v/>
      </c>
      <c r="IE27" s="18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18">
        <f>SUM(IF27:IQ27)</f>
        <v/>
      </c>
      <c r="IS27" s="18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18">
        <f>SUM(IT27:JE27)</f>
        <v/>
      </c>
      <c r="JG27" s="18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18">
        <f>SUM(JH27:JS27)</f>
        <v/>
      </c>
      <c r="JU27" s="18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18">
        <f>SUM(JV27:KG27)</f>
        <v/>
      </c>
      <c r="KI27" s="18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18">
        <f>SUM(KJ27:KU27)</f>
        <v/>
      </c>
      <c r="KW27" s="18" t="n"/>
      <c r="KX27" s="783" t="n"/>
      <c r="KY27" s="76" t="n"/>
    </row>
    <row r="28" ht="14.25" customFormat="1" customHeight="1" s="10">
      <c r="A28" s="17" t="inlineStr">
        <is>
          <t>5.5 เพราะ sensory test ไม่ผ่าน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18">
        <f>SUM(B28:M28)</f>
        <v/>
      </c>
      <c r="O28" s="18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18">
        <f>SUM(P28:AA28)</f>
        <v/>
      </c>
      <c r="AC28" s="18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18">
        <f>SUM(AD28:AO28)</f>
        <v/>
      </c>
      <c r="AQ28" s="18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18">
        <f>SUM(AR28:BC28)</f>
        <v/>
      </c>
      <c r="BE28" s="18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18">
        <f>SUM(BF28:BQ28)</f>
        <v/>
      </c>
      <c r="BS28" s="18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18">
        <f>SUM(BT28:CE28)</f>
        <v/>
      </c>
      <c r="CG28" s="18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18">
        <f>SUM(CH28:CS28)</f>
        <v/>
      </c>
      <c r="CU28" s="18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18">
        <f>SUM(CV28:DG28)</f>
        <v/>
      </c>
      <c r="DI28" s="18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18">
        <f>SUM(DJ28:DU28)</f>
        <v/>
      </c>
      <c r="DW28" s="18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18">
        <f>SUM(DX28:EI28)</f>
        <v/>
      </c>
      <c r="EK28" s="18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18">
        <f>SUM(EL28:EW28)</f>
        <v/>
      </c>
      <c r="EY28" s="18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18">
        <f>SUM(EZ28:FK28)</f>
        <v/>
      </c>
      <c r="FM28" s="18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18">
        <f>SUM(FN28:FY28)</f>
        <v/>
      </c>
      <c r="GA28" s="18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18">
        <f>SUM(GB28:GM28)</f>
        <v/>
      </c>
      <c r="GO28" s="18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18">
        <f>SUM(GP28:HA28)</f>
        <v/>
      </c>
      <c r="HC28" s="18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18">
        <f>SUM(HD28:HO28)</f>
        <v/>
      </c>
      <c r="HQ28" s="18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18">
        <f>SUM(HR28:IC28)</f>
        <v/>
      </c>
      <c r="IE28" s="18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18">
        <f>SUM(IF28:IQ28)</f>
        <v/>
      </c>
      <c r="IS28" s="18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18">
        <f>SUM(IT28:JE28)</f>
        <v/>
      </c>
      <c r="JG28" s="18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18">
        <f>SUM(JH28:JS28)</f>
        <v/>
      </c>
      <c r="JU28" s="18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18">
        <f>SUM(JV28:KG28)</f>
        <v/>
      </c>
      <c r="KI28" s="18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18">
        <f>SUM(KJ28:KU28)</f>
        <v/>
      </c>
      <c r="KW28" s="18" t="n"/>
      <c r="KX28" s="783" t="n"/>
      <c r="KY28" s="76" t="n"/>
    </row>
    <row r="29" ht="14.25" customFormat="1" customHeight="1" s="10">
      <c r="A29" s="17" t="inlineStr">
        <is>
          <t>5.6 เพราะไม่สามารถหาสาขาที่จะจำหน่ายได้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18">
        <f>SUM(B29:M29)</f>
        <v/>
      </c>
      <c r="O29" s="18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18">
        <f>SUM(P29:AA29)</f>
        <v/>
      </c>
      <c r="AC29" s="18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18">
        <f>SUM(AD29:AO29)</f>
        <v/>
      </c>
      <c r="AQ29" s="18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18">
        <f>SUM(AR29:BC29)</f>
        <v/>
      </c>
      <c r="BE29" s="18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18">
        <f>SUM(BF29:BQ29)</f>
        <v/>
      </c>
      <c r="BS29" s="18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18">
        <f>SUM(BT29:CE29)</f>
        <v/>
      </c>
      <c r="CG29" s="18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18">
        <f>SUM(CH29:CS29)</f>
        <v/>
      </c>
      <c r="CU29" s="18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18">
        <f>SUM(CV29:DG29)</f>
        <v/>
      </c>
      <c r="DI29" s="18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18">
        <f>SUM(DJ29:DU29)</f>
        <v/>
      </c>
      <c r="DW29" s="18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18">
        <f>SUM(DX29:EI29)</f>
        <v/>
      </c>
      <c r="EK29" s="18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18">
        <f>SUM(EL29:EW29)</f>
        <v/>
      </c>
      <c r="EY29" s="18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18">
        <f>SUM(EZ29:FK29)</f>
        <v/>
      </c>
      <c r="FM29" s="18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18">
        <f>SUM(FN29:FY29)</f>
        <v/>
      </c>
      <c r="GA29" s="18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18">
        <f>SUM(GB29:GM29)</f>
        <v/>
      </c>
      <c r="GO29" s="18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18">
        <f>SUM(GP29:HA29)</f>
        <v/>
      </c>
      <c r="HC29" s="18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18">
        <f>SUM(HD29:HO29)</f>
        <v/>
      </c>
      <c r="HQ29" s="18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18">
        <f>SUM(HR29:IC29)</f>
        <v/>
      </c>
      <c r="IE29" s="18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18">
        <f>SUM(IF29:IQ29)</f>
        <v/>
      </c>
      <c r="IS29" s="18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18">
        <f>SUM(IT29:JE29)</f>
        <v/>
      </c>
      <c r="JG29" s="18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18">
        <f>SUM(JH29:JS29)</f>
        <v/>
      </c>
      <c r="JU29" s="18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18">
        <f>SUM(JV29:KG29)</f>
        <v/>
      </c>
      <c r="KI29" s="18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18">
        <f>SUM(KJ29:KU29)</f>
        <v/>
      </c>
      <c r="KW29" s="18" t="n"/>
      <c r="KX29" s="783" t="n"/>
      <c r="KY29" s="76" t="n"/>
    </row>
    <row r="30" ht="14.25" customFormat="1" customHeight="1" s="10">
      <c r="A30" s="17" t="inlineStr">
        <is>
          <t xml:space="preserve">5.7 เพราะไม่ผ่านวง Food Committee 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18">
        <f>SUM(B30:M30)</f>
        <v/>
      </c>
      <c r="O30" s="18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18">
        <f>SUM(P30:AA30)</f>
        <v/>
      </c>
      <c r="AC30" s="18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18">
        <f>SUM(AD30:AO30)</f>
        <v/>
      </c>
      <c r="AQ30" s="18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18">
        <f>SUM(AR30:BC30)</f>
        <v/>
      </c>
      <c r="BE30" s="18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18">
        <f>SUM(BF30:BQ30)</f>
        <v/>
      </c>
      <c r="BS30" s="18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18">
        <f>SUM(BT30:CE30)</f>
        <v/>
      </c>
      <c r="CG30" s="18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18">
        <f>SUM(CH30:CS30)</f>
        <v/>
      </c>
      <c r="CU30" s="18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18">
        <f>SUM(CV30:DG30)</f>
        <v/>
      </c>
      <c r="DI30" s="18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18">
        <f>SUM(DJ30:DU30)</f>
        <v/>
      </c>
      <c r="DW30" s="18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18">
        <f>SUM(DX30:EI30)</f>
        <v/>
      </c>
      <c r="EK30" s="18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18">
        <f>SUM(EL30:EW30)</f>
        <v/>
      </c>
      <c r="EY30" s="18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18">
        <f>SUM(EZ30:FK30)</f>
        <v/>
      </c>
      <c r="FM30" s="18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18">
        <f>SUM(FN30:FY30)</f>
        <v/>
      </c>
      <c r="GA30" s="18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18">
        <f>SUM(GB30:GM30)</f>
        <v/>
      </c>
      <c r="GO30" s="18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18">
        <f>SUM(GP30:HA30)</f>
        <v/>
      </c>
      <c r="HC30" s="18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18">
        <f>SUM(HD30:HO30)</f>
        <v/>
      </c>
      <c r="HQ30" s="18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18">
        <f>SUM(HR30:IC30)</f>
        <v/>
      </c>
      <c r="IE30" s="18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18">
        <f>SUM(IF30:IQ30)</f>
        <v/>
      </c>
      <c r="IS30" s="18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18">
        <f>SUM(IT30:JE30)</f>
        <v/>
      </c>
      <c r="JG30" s="18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18">
        <f>SUM(JH30:JS30)</f>
        <v/>
      </c>
      <c r="JU30" s="18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18">
        <f>SUM(JV30:KG30)</f>
        <v/>
      </c>
      <c r="KI30" s="18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18">
        <f>SUM(KJ30:KU30)</f>
        <v/>
      </c>
      <c r="KW30" s="18" t="n"/>
      <c r="KX30" s="783" t="n"/>
      <c r="KY30" s="76" t="n"/>
    </row>
    <row r="31" ht="14.25" customFormat="1" customHeight="1" s="10">
      <c r="A31" s="17" t="inlineStr">
        <is>
          <t>5.8 เพราะจากการสำรวจผู้บริโภคยอมรับลักษณะปรากฏหรือรสชาติเดิม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18">
        <f>SUM(B31:M31)</f>
        <v/>
      </c>
      <c r="O31" s="18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18">
        <f>SUM(P31:AA31)</f>
        <v/>
      </c>
      <c r="AC31" s="18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18">
        <f>SUM(AD31:AO31)</f>
        <v/>
      </c>
      <c r="AQ31" s="18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18">
        <f>SUM(AR31:BC31)</f>
        <v/>
      </c>
      <c r="BE31" s="18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18">
        <f>SUM(BF31:BQ31)</f>
        <v/>
      </c>
      <c r="BS31" s="18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18">
        <f>SUM(BT31:CE31)</f>
        <v/>
      </c>
      <c r="CG31" s="18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18">
        <f>SUM(CH31:CS31)</f>
        <v/>
      </c>
      <c r="CU31" s="18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18">
        <f>SUM(CV31:DG31)</f>
        <v/>
      </c>
      <c r="DI31" s="18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18">
        <f>SUM(DJ31:DU31)</f>
        <v/>
      </c>
      <c r="DW31" s="18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18">
        <f>SUM(DX31:EI31)</f>
        <v/>
      </c>
      <c r="EK31" s="18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18">
        <f>SUM(EL31:EW31)</f>
        <v/>
      </c>
      <c r="EY31" s="18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18">
        <f>SUM(EZ31:FK31)</f>
        <v/>
      </c>
      <c r="FM31" s="18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18">
        <f>SUM(FN31:FY31)</f>
        <v/>
      </c>
      <c r="GA31" s="18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18">
        <f>SUM(GB31:GM31)</f>
        <v/>
      </c>
      <c r="GO31" s="18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18">
        <f>SUM(GP31:HA31)</f>
        <v/>
      </c>
      <c r="HC31" s="18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18">
        <f>SUM(HD31:HO31)</f>
        <v/>
      </c>
      <c r="HQ31" s="18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18">
        <f>SUM(HR31:IC31)</f>
        <v/>
      </c>
      <c r="IE31" s="18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18">
        <f>SUM(IF31:IQ31)</f>
        <v/>
      </c>
      <c r="IS31" s="18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18">
        <f>SUM(IT31:JE31)</f>
        <v/>
      </c>
      <c r="JG31" s="18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18">
        <f>SUM(JH31:JS31)</f>
        <v/>
      </c>
      <c r="JU31" s="18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18">
        <f>SUM(JV31:KG31)</f>
        <v/>
      </c>
      <c r="KI31" s="18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18">
        <f>SUM(KJ31:KU31)</f>
        <v/>
      </c>
      <c r="KW31" s="18" t="n"/>
      <c r="KX31" s="783" t="n"/>
      <c r="KY31" s="76" t="n"/>
    </row>
    <row r="32" ht="14.25" customFormat="1" customHeight="1" s="16">
      <c r="A32" s="12" t="inlineStr">
        <is>
          <t>6.CPRAM ขอยกเลิก</t>
        </is>
      </c>
      <c r="B32" s="21" t="n"/>
      <c r="C32" s="21" t="n"/>
      <c r="D32" s="13" t="n"/>
      <c r="E32" s="21" t="n"/>
      <c r="F32" s="21" t="n"/>
      <c r="G32" s="21" t="n"/>
      <c r="H32" s="21" t="n"/>
      <c r="I32" s="21" t="n"/>
      <c r="J32" s="21" t="n"/>
      <c r="K32" s="21" t="n"/>
      <c r="L32" s="13" t="n"/>
      <c r="M32" s="21" t="n"/>
      <c r="N32" s="14">
        <f>SUM(B32:M32)</f>
        <v/>
      </c>
      <c r="O32" s="15">
        <f>N32/N$45%</f>
        <v/>
      </c>
      <c r="P32" s="21" t="n"/>
      <c r="Q32" s="21" t="n"/>
      <c r="R32" s="13" t="n"/>
      <c r="S32" s="21" t="n"/>
      <c r="T32" s="21" t="n"/>
      <c r="U32" s="21" t="n"/>
      <c r="V32" s="21" t="n"/>
      <c r="W32" s="21" t="n"/>
      <c r="X32" s="21" t="n"/>
      <c r="Y32" s="21" t="n"/>
      <c r="Z32" s="13" t="n"/>
      <c r="AA32" s="21" t="n"/>
      <c r="AB32" s="14">
        <f>SUM(P32:AA32)</f>
        <v/>
      </c>
      <c r="AC32" s="15">
        <f>AB32/AB$45%</f>
        <v/>
      </c>
      <c r="AD32" s="21" t="n"/>
      <c r="AE32" s="21" t="n"/>
      <c r="AF32" s="13" t="n"/>
      <c r="AG32" s="21" t="n"/>
      <c r="AH32" s="21" t="n"/>
      <c r="AI32" s="21" t="n"/>
      <c r="AJ32" s="21" t="n"/>
      <c r="AK32" s="21" t="n"/>
      <c r="AL32" s="21" t="n"/>
      <c r="AM32" s="21" t="n"/>
      <c r="AN32" s="13" t="n"/>
      <c r="AO32" s="21" t="n"/>
      <c r="AP32" s="14">
        <f>SUM(AD32:AO32)</f>
        <v/>
      </c>
      <c r="AQ32" s="15">
        <f>AP32/AP$45%</f>
        <v/>
      </c>
      <c r="AR32" s="21" t="n"/>
      <c r="AS32" s="21" t="n"/>
      <c r="AT32" s="13" t="n"/>
      <c r="AU32" s="21" t="n"/>
      <c r="AV32" s="21" t="n"/>
      <c r="AW32" s="21" t="n"/>
      <c r="AX32" s="21" t="n"/>
      <c r="AY32" s="21" t="n"/>
      <c r="AZ32" s="21" t="n"/>
      <c r="BA32" s="21" t="n"/>
      <c r="BB32" s="13" t="n"/>
      <c r="BC32" s="21" t="n"/>
      <c r="BD32" s="14">
        <f>SUM(AR32:BC32)</f>
        <v/>
      </c>
      <c r="BE32" s="15">
        <f>BD32/BD$45%</f>
        <v/>
      </c>
      <c r="BF32" s="21" t="n"/>
      <c r="BG32" s="21" t="n"/>
      <c r="BH32" s="13" t="n"/>
      <c r="BI32" s="21" t="n"/>
      <c r="BJ32" s="21" t="n"/>
      <c r="BK32" s="21" t="n"/>
      <c r="BL32" s="21" t="n"/>
      <c r="BM32" s="21" t="n"/>
      <c r="BN32" s="21" t="n"/>
      <c r="BO32" s="21" t="n"/>
      <c r="BP32" s="13" t="n"/>
      <c r="BQ32" s="21" t="n"/>
      <c r="BR32" s="14">
        <f>SUM(BF32:BQ32)</f>
        <v/>
      </c>
      <c r="BS32" s="15">
        <f>BR32/BR$45%</f>
        <v/>
      </c>
      <c r="BT32" s="21" t="n"/>
      <c r="BU32" s="21" t="n"/>
      <c r="BV32" s="13" t="n"/>
      <c r="BW32" s="21" t="n"/>
      <c r="BX32" s="21" t="n"/>
      <c r="BY32" s="21" t="n"/>
      <c r="BZ32" s="21" t="n"/>
      <c r="CA32" s="21" t="n"/>
      <c r="CB32" s="21" t="n"/>
      <c r="CC32" s="21" t="n"/>
      <c r="CD32" s="13" t="n"/>
      <c r="CE32" s="21" t="n"/>
      <c r="CF32" s="14">
        <f>SUM(BT32:CE32)</f>
        <v/>
      </c>
      <c r="CG32" s="15">
        <f>CF32/CF$45%</f>
        <v/>
      </c>
      <c r="CH32" s="21" t="n"/>
      <c r="CI32" s="21" t="n"/>
      <c r="CJ32" s="13" t="n"/>
      <c r="CK32" s="21" t="n"/>
      <c r="CL32" s="21" t="n"/>
      <c r="CM32" s="21" t="n"/>
      <c r="CN32" s="21" t="n"/>
      <c r="CO32" s="21" t="n"/>
      <c r="CP32" s="21" t="n"/>
      <c r="CQ32" s="21" t="n"/>
      <c r="CR32" s="13" t="n"/>
      <c r="CS32" s="21" t="n"/>
      <c r="CT32" s="14">
        <f>SUM(CH32:CS32)</f>
        <v/>
      </c>
      <c r="CU32" s="15">
        <f>CT32/CT$45%</f>
        <v/>
      </c>
      <c r="CV32" s="21" t="n"/>
      <c r="CW32" s="21" t="n"/>
      <c r="CX32" s="13" t="n"/>
      <c r="CY32" s="21" t="n"/>
      <c r="CZ32" s="21" t="n"/>
      <c r="DA32" s="21" t="n"/>
      <c r="DB32" s="21" t="n"/>
      <c r="DC32" s="21" t="n"/>
      <c r="DD32" s="21" t="n"/>
      <c r="DE32" s="21" t="n"/>
      <c r="DF32" s="13" t="n"/>
      <c r="DG32" s="21" t="n"/>
      <c r="DH32" s="14">
        <f>SUM(CV32:DG32)</f>
        <v/>
      </c>
      <c r="DI32" s="15">
        <f>DH32/DH$45%</f>
        <v/>
      </c>
      <c r="DJ32" s="21" t="n"/>
      <c r="DK32" s="21" t="n"/>
      <c r="DL32" s="13" t="n"/>
      <c r="DM32" s="21" t="n"/>
      <c r="DN32" s="21" t="n"/>
      <c r="DO32" s="21" t="n"/>
      <c r="DP32" s="21" t="n"/>
      <c r="DQ32" s="21" t="n"/>
      <c r="DR32" s="21" t="n"/>
      <c r="DS32" s="21" t="n"/>
      <c r="DT32" s="13" t="n"/>
      <c r="DU32" s="21" t="n"/>
      <c r="DV32" s="14">
        <f>SUM(DJ32:DU32)</f>
        <v/>
      </c>
      <c r="DW32" s="15">
        <f>DV32/DV$45%</f>
        <v/>
      </c>
      <c r="DX32" s="21" t="n"/>
      <c r="DY32" s="21" t="n"/>
      <c r="DZ32" s="13" t="n"/>
      <c r="EA32" s="21" t="n"/>
      <c r="EB32" s="21" t="n"/>
      <c r="EC32" s="21" t="n"/>
      <c r="ED32" s="21" t="n"/>
      <c r="EE32" s="21" t="n"/>
      <c r="EF32" s="21" t="n"/>
      <c r="EG32" s="21" t="n"/>
      <c r="EH32" s="13" t="n"/>
      <c r="EI32" s="21" t="n"/>
      <c r="EJ32" s="14">
        <f>SUM(DX32:EI32)</f>
        <v/>
      </c>
      <c r="EK32" s="15">
        <f>EJ32/EJ$45%</f>
        <v/>
      </c>
      <c r="EL32" s="21" t="n"/>
      <c r="EM32" s="21" t="n"/>
      <c r="EN32" s="13" t="n"/>
      <c r="EO32" s="21" t="n"/>
      <c r="EP32" s="21" t="n"/>
      <c r="EQ32" s="21" t="n"/>
      <c r="ER32" s="21" t="n"/>
      <c r="ES32" s="21" t="n"/>
      <c r="ET32" s="21" t="n"/>
      <c r="EU32" s="21" t="n"/>
      <c r="EV32" s="13" t="n"/>
      <c r="EW32" s="21" t="n"/>
      <c r="EX32" s="14">
        <f>SUM(EL32:EW32)</f>
        <v/>
      </c>
      <c r="EY32" s="15">
        <f>EX32/EX$45%</f>
        <v/>
      </c>
      <c r="EZ32" s="21" t="n"/>
      <c r="FA32" s="21" t="n"/>
      <c r="FB32" s="13" t="n"/>
      <c r="FC32" s="21" t="n"/>
      <c r="FD32" s="21" t="n"/>
      <c r="FE32" s="21" t="n"/>
      <c r="FF32" s="21" t="n"/>
      <c r="FG32" s="21" t="n"/>
      <c r="FH32" s="21" t="n"/>
      <c r="FI32" s="21" t="n"/>
      <c r="FJ32" s="13" t="n"/>
      <c r="FK32" s="21" t="n"/>
      <c r="FL32" s="14">
        <f>SUM(EZ32:FK32)</f>
        <v/>
      </c>
      <c r="FM32" s="15">
        <f>FL32/FL$45%</f>
        <v/>
      </c>
      <c r="FN32" s="21" t="n"/>
      <c r="FO32" s="21" t="n"/>
      <c r="FP32" s="13" t="n"/>
      <c r="FQ32" s="21" t="n"/>
      <c r="FR32" s="21" t="n"/>
      <c r="FS32" s="21" t="n"/>
      <c r="FT32" s="21" t="n"/>
      <c r="FU32" s="21" t="n"/>
      <c r="FV32" s="21" t="n"/>
      <c r="FW32" s="21" t="n"/>
      <c r="FX32" s="13" t="n"/>
      <c r="FY32" s="21" t="n"/>
      <c r="FZ32" s="14">
        <f>SUM(FN32:FY32)</f>
        <v/>
      </c>
      <c r="GA32" s="15">
        <f>FZ32/FZ$45%</f>
        <v/>
      </c>
      <c r="GB32" s="21" t="n"/>
      <c r="GC32" s="21" t="n"/>
      <c r="GD32" s="13" t="n"/>
      <c r="GE32" s="21" t="n"/>
      <c r="GF32" s="21" t="n"/>
      <c r="GG32" s="21" t="n"/>
      <c r="GH32" s="21" t="n"/>
      <c r="GI32" s="21" t="n"/>
      <c r="GJ32" s="21" t="n"/>
      <c r="GK32" s="21" t="n"/>
      <c r="GL32" s="13" t="n"/>
      <c r="GM32" s="21" t="n"/>
      <c r="GN32" s="14">
        <f>SUM(GB32:GM32)</f>
        <v/>
      </c>
      <c r="GO32" s="15">
        <f>GN32/GN$45%</f>
        <v/>
      </c>
      <c r="GP32" s="21" t="n"/>
      <c r="GQ32" s="21" t="n"/>
      <c r="GR32" s="21" t="n"/>
      <c r="GS32" s="21" t="n"/>
      <c r="GT32" s="21" t="n"/>
      <c r="GU32" s="21" t="n"/>
      <c r="GV32" s="21" t="n"/>
      <c r="GW32" s="21" t="n"/>
      <c r="GX32" s="21" t="n"/>
      <c r="GY32" s="21" t="n"/>
      <c r="GZ32" s="21" t="n"/>
      <c r="HA32" s="21" t="n"/>
      <c r="HB32" s="14">
        <f>SUM(GP32:HA32)</f>
        <v/>
      </c>
      <c r="HC32" s="15">
        <f>HB32/HB$45%</f>
        <v/>
      </c>
      <c r="HD32" s="21" t="n"/>
      <c r="HE32" s="21" t="n"/>
      <c r="HF32" s="13" t="n"/>
      <c r="HG32" s="21" t="n"/>
      <c r="HH32" s="21" t="n"/>
      <c r="HI32" s="21" t="n"/>
      <c r="HJ32" s="21" t="n"/>
      <c r="HK32" s="21" t="n"/>
      <c r="HL32" s="21" t="n"/>
      <c r="HM32" s="21" t="n"/>
      <c r="HN32" s="13" t="n"/>
      <c r="HO32" s="21" t="n"/>
      <c r="HP32" s="14">
        <f>SUM(HD32:HO32)</f>
        <v/>
      </c>
      <c r="HQ32" s="15">
        <f>HP32/HP$45%</f>
        <v/>
      </c>
      <c r="HR32" s="21" t="n"/>
      <c r="HS32" s="21" t="n"/>
      <c r="HT32" s="13" t="n"/>
      <c r="HU32" s="21" t="n"/>
      <c r="HV32" s="21" t="n"/>
      <c r="HW32" s="21" t="n"/>
      <c r="HX32" s="21" t="n"/>
      <c r="HY32" s="21" t="n"/>
      <c r="HZ32" s="21" t="n"/>
      <c r="IA32" s="21" t="n"/>
      <c r="IB32" s="13" t="n"/>
      <c r="IC32" s="21" t="n"/>
      <c r="ID32" s="14">
        <f>SUM(HR32:IC32)</f>
        <v/>
      </c>
      <c r="IE32" s="15">
        <f>ID32/ID$45%</f>
        <v/>
      </c>
      <c r="IF32" s="21" t="n"/>
      <c r="IG32" s="21" t="n"/>
      <c r="IH32" s="13" t="n"/>
      <c r="II32" s="21" t="n"/>
      <c r="IJ32" s="21" t="n"/>
      <c r="IK32" s="21" t="n"/>
      <c r="IL32" s="21" t="n"/>
      <c r="IM32" s="21" t="n"/>
      <c r="IN32" s="21" t="n"/>
      <c r="IO32" s="21" t="n"/>
      <c r="IP32" s="13" t="n"/>
      <c r="IQ32" s="21" t="n"/>
      <c r="IR32" s="14">
        <f>SUM(IF32:IQ32)</f>
        <v/>
      </c>
      <c r="IS32" s="15">
        <f>IR32/IR$45%</f>
        <v/>
      </c>
      <c r="IT32" s="21" t="n"/>
      <c r="IU32" s="21" t="n"/>
      <c r="IV32" s="21" t="n"/>
      <c r="IW32" s="21" t="n"/>
      <c r="IX32" s="21" t="n"/>
      <c r="IY32" s="21" t="n"/>
      <c r="IZ32" s="21" t="n"/>
      <c r="JA32" s="21" t="n"/>
      <c r="JB32" s="21" t="n"/>
      <c r="JC32" s="21" t="n"/>
      <c r="JD32" s="21" t="n"/>
      <c r="JE32" s="21" t="n"/>
      <c r="JF32" s="14">
        <f>SUM(IT32:JE32)</f>
        <v/>
      </c>
      <c r="JG32" s="15">
        <f>JF32/JF$45%</f>
        <v/>
      </c>
      <c r="JH32" s="21" t="n"/>
      <c r="JI32" s="21" t="n"/>
      <c r="JJ32" s="21" t="n"/>
      <c r="JK32" s="21" t="n"/>
      <c r="JL32" s="21" t="n"/>
      <c r="JM32" s="21" t="n"/>
      <c r="JN32" s="21" t="n"/>
      <c r="JO32" s="21" t="n"/>
      <c r="JP32" s="21" t="n"/>
      <c r="JQ32" s="21" t="n"/>
      <c r="JR32" s="21" t="n"/>
      <c r="JS32" s="21" t="n"/>
      <c r="JT32" s="14">
        <f>SUM(JH32:JS32)</f>
        <v/>
      </c>
      <c r="JU32" s="15">
        <f>JT32/JT$45%</f>
        <v/>
      </c>
      <c r="JV32" s="21" t="n"/>
      <c r="JW32" s="21" t="n"/>
      <c r="JX32" s="21" t="n"/>
      <c r="JY32" s="21" t="n"/>
      <c r="JZ32" s="21" t="n"/>
      <c r="KA32" s="21" t="n"/>
      <c r="KB32" s="21" t="n"/>
      <c r="KC32" s="21" t="n"/>
      <c r="KD32" s="21" t="n"/>
      <c r="KE32" s="21" t="n"/>
      <c r="KF32" s="21" t="n"/>
      <c r="KG32" s="21" t="n"/>
      <c r="KH32" s="14">
        <f>SUM(JV32:KG32)</f>
        <v/>
      </c>
      <c r="KI32" s="15">
        <f>KH32/KH$45%</f>
        <v/>
      </c>
      <c r="KJ32" s="21" t="n"/>
      <c r="KK32" s="21" t="n"/>
      <c r="KL32" s="21" t="n"/>
      <c r="KM32" s="21" t="n"/>
      <c r="KN32" s="21" t="n"/>
      <c r="KO32" s="21" t="n"/>
      <c r="KP32" s="21" t="n"/>
      <c r="KQ32" s="21" t="n"/>
      <c r="KR32" s="21" t="n"/>
      <c r="KS32" s="21" t="n"/>
      <c r="KT32" s="21" t="n"/>
      <c r="KU32" s="21" t="n"/>
      <c r="KV32" s="14">
        <f>SUM(KJ32:KU32)</f>
        <v/>
      </c>
      <c r="KW32" s="15">
        <f>KV32/KV$45%</f>
        <v/>
      </c>
      <c r="KX32" s="78">
        <f>N32+AB32+AP32+BD32+BR32+CF32+CT32+DH32+DV32+EJ32+EX32+FZ32+GN32+HB32+HP32+ID32+IR32+JF32+KH32+KV32+JT32</f>
        <v/>
      </c>
      <c r="KY32" s="78">
        <f>KX32/KX$45%</f>
        <v/>
      </c>
    </row>
    <row r="33" ht="14.25" customFormat="1" customHeight="1" s="10">
      <c r="A33" s="17" t="inlineStr">
        <is>
          <t>6.1 โรงงานติดปัญหาด้านแรงงานในการผลิต</t>
        </is>
      </c>
      <c r="B33" s="60" t="n"/>
      <c r="C33" s="60" t="n"/>
      <c r="D33" s="7" t="n"/>
      <c r="E33" s="60" t="n"/>
      <c r="F33" s="60" t="n"/>
      <c r="G33" s="60" t="n"/>
      <c r="H33" s="60" t="n"/>
      <c r="I33" s="60" t="n"/>
      <c r="J33" s="60" t="n"/>
      <c r="K33" s="60" t="n"/>
      <c r="L33" s="7" t="n"/>
      <c r="M33" s="60" t="n"/>
      <c r="N33" s="18">
        <f>SUM(B33:M33)</f>
        <v/>
      </c>
      <c r="O33" s="59" t="n"/>
      <c r="P33" s="60" t="n"/>
      <c r="Q33" s="60" t="n"/>
      <c r="R33" s="7" t="n"/>
      <c r="S33" s="60" t="n"/>
      <c r="T33" s="60" t="n"/>
      <c r="U33" s="60" t="n"/>
      <c r="V33" s="60" t="n"/>
      <c r="W33" s="60" t="n"/>
      <c r="X33" s="60" t="n"/>
      <c r="Y33" s="60" t="n"/>
      <c r="Z33" s="7" t="n"/>
      <c r="AA33" s="60" t="n"/>
      <c r="AB33" s="18">
        <f>SUM(P33:AA33)</f>
        <v/>
      </c>
      <c r="AC33" s="59" t="n"/>
      <c r="AD33" s="60" t="n"/>
      <c r="AE33" s="60" t="n"/>
      <c r="AF33" s="7" t="n"/>
      <c r="AG33" s="60" t="n"/>
      <c r="AH33" s="60" t="n"/>
      <c r="AI33" s="60" t="n"/>
      <c r="AJ33" s="60" t="n"/>
      <c r="AK33" s="60" t="n"/>
      <c r="AL33" s="60" t="n"/>
      <c r="AM33" s="60" t="n"/>
      <c r="AN33" s="7" t="n"/>
      <c r="AO33" s="60" t="n"/>
      <c r="AP33" s="18">
        <f>SUM(AD33:AO33)</f>
        <v/>
      </c>
      <c r="AQ33" s="59" t="n"/>
      <c r="AR33" s="60" t="n"/>
      <c r="AS33" s="60" t="n"/>
      <c r="AT33" s="7" t="n"/>
      <c r="AU33" s="60" t="n"/>
      <c r="AV33" s="60" t="n"/>
      <c r="AW33" s="60" t="n"/>
      <c r="AX33" s="60" t="n"/>
      <c r="AY33" s="60" t="n"/>
      <c r="AZ33" s="60" t="n"/>
      <c r="BA33" s="60" t="n"/>
      <c r="BB33" s="7" t="n"/>
      <c r="BC33" s="60" t="n"/>
      <c r="BD33" s="18">
        <f>SUM(AR33:BC33)</f>
        <v/>
      </c>
      <c r="BE33" s="59" t="n"/>
      <c r="BF33" s="60" t="n"/>
      <c r="BG33" s="60" t="n"/>
      <c r="BH33" s="7" t="n"/>
      <c r="BI33" s="60" t="n"/>
      <c r="BJ33" s="60" t="n"/>
      <c r="BK33" s="60" t="n"/>
      <c r="BL33" s="60" t="n"/>
      <c r="BM33" s="60" t="n"/>
      <c r="BN33" s="60" t="n"/>
      <c r="BO33" s="60" t="n"/>
      <c r="BP33" s="7" t="n"/>
      <c r="BQ33" s="60" t="n"/>
      <c r="BR33" s="18">
        <f>SUM(BF33:BQ33)</f>
        <v/>
      </c>
      <c r="BS33" s="59" t="n"/>
      <c r="BT33" s="60" t="n"/>
      <c r="BU33" s="60" t="n"/>
      <c r="BV33" s="7" t="n"/>
      <c r="BW33" s="60" t="n"/>
      <c r="BX33" s="60" t="n"/>
      <c r="BY33" s="60" t="n"/>
      <c r="BZ33" s="60" t="n"/>
      <c r="CA33" s="60" t="n"/>
      <c r="CB33" s="60" t="n"/>
      <c r="CC33" s="60" t="n"/>
      <c r="CD33" s="7" t="n"/>
      <c r="CE33" s="60" t="n"/>
      <c r="CF33" s="18">
        <f>SUM(BT33:CE33)</f>
        <v/>
      </c>
      <c r="CG33" s="59" t="n"/>
      <c r="CH33" s="60" t="n"/>
      <c r="CI33" s="60" t="n"/>
      <c r="CJ33" s="7" t="n"/>
      <c r="CK33" s="60" t="n"/>
      <c r="CL33" s="60" t="n"/>
      <c r="CM33" s="60" t="n"/>
      <c r="CN33" s="60" t="n"/>
      <c r="CO33" s="60" t="n"/>
      <c r="CP33" s="60" t="n"/>
      <c r="CQ33" s="60" t="n"/>
      <c r="CR33" s="7" t="n"/>
      <c r="CS33" s="60" t="n"/>
      <c r="CT33" s="18">
        <f>SUM(CH33:CS33)</f>
        <v/>
      </c>
      <c r="CU33" s="59" t="n"/>
      <c r="CV33" s="60" t="n"/>
      <c r="CW33" s="60" t="n"/>
      <c r="CX33" s="7" t="n"/>
      <c r="CY33" s="60" t="n"/>
      <c r="CZ33" s="60" t="n"/>
      <c r="DA33" s="60" t="n"/>
      <c r="DB33" s="60" t="n"/>
      <c r="DC33" s="60" t="n"/>
      <c r="DD33" s="60" t="n"/>
      <c r="DE33" s="60" t="n"/>
      <c r="DF33" s="7" t="n"/>
      <c r="DG33" s="60" t="n"/>
      <c r="DH33" s="18">
        <f>SUM(CV33:DG33)</f>
        <v/>
      </c>
      <c r="DI33" s="59" t="n"/>
      <c r="DJ33" s="60" t="n"/>
      <c r="DK33" s="60" t="n"/>
      <c r="DL33" s="7" t="n"/>
      <c r="DM33" s="60" t="n"/>
      <c r="DN33" s="60" t="n"/>
      <c r="DO33" s="60" t="n"/>
      <c r="DP33" s="60" t="n"/>
      <c r="DQ33" s="60" t="n"/>
      <c r="DR33" s="60" t="n"/>
      <c r="DS33" s="60" t="n"/>
      <c r="DT33" s="7" t="n"/>
      <c r="DU33" s="60" t="n"/>
      <c r="DV33" s="18">
        <f>SUM(DJ33:DU33)</f>
        <v/>
      </c>
      <c r="DW33" s="59" t="n"/>
      <c r="DX33" s="60" t="n"/>
      <c r="DY33" s="60" t="n"/>
      <c r="DZ33" s="7" t="n"/>
      <c r="EA33" s="60" t="n"/>
      <c r="EB33" s="60" t="n"/>
      <c r="EC33" s="60" t="n"/>
      <c r="ED33" s="60" t="n"/>
      <c r="EE33" s="60" t="n"/>
      <c r="EF33" s="60" t="n"/>
      <c r="EG33" s="60" t="n"/>
      <c r="EH33" s="7" t="n"/>
      <c r="EI33" s="60" t="n"/>
      <c r="EJ33" s="18">
        <f>SUM(DX33:EI33)</f>
        <v/>
      </c>
      <c r="EK33" s="59" t="n"/>
      <c r="EL33" s="60" t="n"/>
      <c r="EM33" s="60" t="n"/>
      <c r="EN33" s="7" t="n"/>
      <c r="EO33" s="60" t="n"/>
      <c r="EP33" s="60" t="n"/>
      <c r="EQ33" s="60" t="n"/>
      <c r="ER33" s="60" t="n"/>
      <c r="ES33" s="60" t="n"/>
      <c r="ET33" s="60" t="n"/>
      <c r="EU33" s="60" t="n"/>
      <c r="EV33" s="7" t="n"/>
      <c r="EW33" s="60" t="n"/>
      <c r="EX33" s="18">
        <f>SUM(EL33:EW33)</f>
        <v/>
      </c>
      <c r="EY33" s="59" t="n"/>
      <c r="EZ33" s="60" t="n"/>
      <c r="FA33" s="60" t="n"/>
      <c r="FB33" s="7" t="n"/>
      <c r="FC33" s="60" t="n"/>
      <c r="FD33" s="60" t="n"/>
      <c r="FE33" s="60" t="n"/>
      <c r="FF33" s="60" t="n"/>
      <c r="FG33" s="60" t="n"/>
      <c r="FH33" s="60" t="n"/>
      <c r="FI33" s="60" t="n"/>
      <c r="FJ33" s="7" t="n"/>
      <c r="FK33" s="60" t="n"/>
      <c r="FL33" s="18">
        <f>SUM(EZ33:FK33)</f>
        <v/>
      </c>
      <c r="FM33" s="59" t="n"/>
      <c r="FN33" s="60" t="n"/>
      <c r="FO33" s="60" t="n"/>
      <c r="FP33" s="7" t="n"/>
      <c r="FQ33" s="60" t="n"/>
      <c r="FR33" s="60" t="n"/>
      <c r="FS33" s="60" t="n"/>
      <c r="FT33" s="60" t="n"/>
      <c r="FU33" s="60" t="n"/>
      <c r="FV33" s="60" t="n"/>
      <c r="FW33" s="60" t="n"/>
      <c r="FX33" s="7" t="n"/>
      <c r="FY33" s="60" t="n"/>
      <c r="FZ33" s="18">
        <f>SUM(FN33:FY33)</f>
        <v/>
      </c>
      <c r="GA33" s="59" t="n"/>
      <c r="GB33" s="60" t="n"/>
      <c r="GC33" s="60" t="n"/>
      <c r="GD33" s="7" t="n"/>
      <c r="GE33" s="60" t="n"/>
      <c r="GF33" s="60" t="n"/>
      <c r="GG33" s="60" t="n"/>
      <c r="GH33" s="60" t="n"/>
      <c r="GI33" s="60" t="n"/>
      <c r="GJ33" s="60" t="n"/>
      <c r="GK33" s="60" t="n"/>
      <c r="GL33" s="7" t="n"/>
      <c r="GM33" s="60" t="n"/>
      <c r="GN33" s="18">
        <f>SUM(GB33:GM33)</f>
        <v/>
      </c>
      <c r="GO33" s="59" t="n"/>
      <c r="GP33" s="60" t="n"/>
      <c r="GQ33" s="60" t="n"/>
      <c r="GR33" s="60" t="n"/>
      <c r="GS33" s="60" t="n"/>
      <c r="GT33" s="60" t="n"/>
      <c r="GU33" s="60" t="n"/>
      <c r="GV33" s="60" t="n"/>
      <c r="GW33" s="60" t="n"/>
      <c r="GX33" s="60" t="n"/>
      <c r="GY33" s="60" t="n"/>
      <c r="GZ33" s="60" t="n"/>
      <c r="HA33" s="60" t="n"/>
      <c r="HB33" s="18">
        <f>SUM(GP33:HA33)</f>
        <v/>
      </c>
      <c r="HC33" s="59" t="n"/>
      <c r="HD33" s="60" t="n"/>
      <c r="HE33" s="60" t="n"/>
      <c r="HF33" s="7" t="n"/>
      <c r="HG33" s="60" t="n"/>
      <c r="HH33" s="60" t="n"/>
      <c r="HI33" s="60" t="n"/>
      <c r="HJ33" s="60" t="n"/>
      <c r="HK33" s="60" t="n"/>
      <c r="HL33" s="60" t="n"/>
      <c r="HM33" s="60" t="n"/>
      <c r="HN33" s="7" t="n"/>
      <c r="HO33" s="60" t="n"/>
      <c r="HP33" s="18">
        <f>SUM(HD33:HO33)</f>
        <v/>
      </c>
      <c r="HQ33" s="59" t="n"/>
      <c r="HR33" s="60" t="n"/>
      <c r="HS33" s="60" t="n"/>
      <c r="HT33" s="7" t="n"/>
      <c r="HU33" s="60" t="n"/>
      <c r="HV33" s="60" t="n"/>
      <c r="HW33" s="60" t="n"/>
      <c r="HX33" s="60" t="n"/>
      <c r="HY33" s="60" t="n"/>
      <c r="HZ33" s="60" t="n"/>
      <c r="IA33" s="60" t="n"/>
      <c r="IB33" s="7" t="n"/>
      <c r="IC33" s="60" t="n"/>
      <c r="ID33" s="18">
        <f>SUM(HR33:IC33)</f>
        <v/>
      </c>
      <c r="IE33" s="59" t="n"/>
      <c r="IF33" s="60" t="n"/>
      <c r="IG33" s="60" t="n"/>
      <c r="IH33" s="7" t="n"/>
      <c r="II33" s="60" t="n"/>
      <c r="IJ33" s="60" t="n"/>
      <c r="IK33" s="60" t="n"/>
      <c r="IL33" s="60" t="n"/>
      <c r="IM33" s="60" t="n"/>
      <c r="IN33" s="60" t="n"/>
      <c r="IO33" s="60" t="n"/>
      <c r="IP33" s="7" t="n"/>
      <c r="IQ33" s="60" t="n"/>
      <c r="IR33" s="18">
        <f>SUM(IF33:IQ33)</f>
        <v/>
      </c>
      <c r="IS33" s="59" t="n"/>
      <c r="IT33" s="60" t="n"/>
      <c r="IU33" s="60" t="n"/>
      <c r="IV33" s="60" t="n"/>
      <c r="IW33" s="60" t="n"/>
      <c r="IX33" s="60" t="n"/>
      <c r="IY33" s="60" t="n"/>
      <c r="IZ33" s="60" t="n"/>
      <c r="JA33" s="60" t="n"/>
      <c r="JB33" s="60" t="n"/>
      <c r="JC33" s="60" t="n"/>
      <c r="JD33" s="60" t="n"/>
      <c r="JE33" s="60" t="n"/>
      <c r="JF33" s="18">
        <f>SUM(IT33:JE33)</f>
        <v/>
      </c>
      <c r="JG33" s="59" t="n"/>
      <c r="JH33" s="60" t="n"/>
      <c r="JI33" s="60" t="n"/>
      <c r="JJ33" s="60" t="n"/>
      <c r="JK33" s="60" t="n"/>
      <c r="JL33" s="60" t="n"/>
      <c r="JM33" s="60" t="n"/>
      <c r="JN33" s="60" t="n"/>
      <c r="JO33" s="60" t="n"/>
      <c r="JP33" s="60" t="n"/>
      <c r="JQ33" s="60" t="n"/>
      <c r="JR33" s="60" t="n"/>
      <c r="JS33" s="60" t="n"/>
      <c r="JT33" s="18">
        <f>SUM(JH33:JS33)</f>
        <v/>
      </c>
      <c r="JU33" s="59" t="n"/>
      <c r="JV33" s="60" t="n"/>
      <c r="JW33" s="60" t="n"/>
      <c r="JX33" s="60" t="n"/>
      <c r="JY33" s="60" t="n"/>
      <c r="JZ33" s="60" t="n"/>
      <c r="KA33" s="60" t="n"/>
      <c r="KB33" s="60" t="n"/>
      <c r="KC33" s="60" t="n"/>
      <c r="KD33" s="60" t="n"/>
      <c r="KE33" s="60" t="n"/>
      <c r="KF33" s="60" t="n"/>
      <c r="KG33" s="60" t="n"/>
      <c r="KH33" s="18">
        <f>SUM(JV33:KG33)</f>
        <v/>
      </c>
      <c r="KI33" s="59" t="n"/>
      <c r="KJ33" s="60" t="n"/>
      <c r="KK33" s="60" t="n"/>
      <c r="KL33" s="60" t="n"/>
      <c r="KM33" s="60" t="n"/>
      <c r="KN33" s="60" t="n"/>
      <c r="KO33" s="60" t="n"/>
      <c r="KP33" s="60" t="n"/>
      <c r="KQ33" s="60" t="n"/>
      <c r="KR33" s="60" t="n"/>
      <c r="KS33" s="60" t="n"/>
      <c r="KT33" s="60" t="n"/>
      <c r="KU33" s="60" t="n"/>
      <c r="KV33" s="18">
        <f>SUM(KJ33:KU33)</f>
        <v/>
      </c>
      <c r="KW33" s="59" t="n"/>
      <c r="KX33" s="81" t="n"/>
      <c r="KY33" s="76" t="n"/>
    </row>
    <row r="34" ht="14.25" customFormat="1" customHeight="1" s="10">
      <c r="A34" s="17" t="inlineStr">
        <is>
          <t>6.2 โรงงานติดปัญหาด้านกระบวนการผลิตซับซ้อน</t>
        </is>
      </c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18">
        <f>SUM(B34:M34)</f>
        <v/>
      </c>
      <c r="O34" s="59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18">
        <f>SUM(P34:AA34)</f>
        <v/>
      </c>
      <c r="AC34" s="59" t="n"/>
      <c r="AD34" s="60" t="n"/>
      <c r="AE34" s="60" t="n"/>
      <c r="AF34" s="60" t="n"/>
      <c r="AG34" s="60" t="n"/>
      <c r="AH34" s="60" t="n"/>
      <c r="AI34" s="60" t="n"/>
      <c r="AJ34" s="60" t="n"/>
      <c r="AK34" s="60" t="n"/>
      <c r="AL34" s="60" t="n"/>
      <c r="AM34" s="60" t="n"/>
      <c r="AN34" s="60" t="n"/>
      <c r="AO34" s="60" t="n"/>
      <c r="AP34" s="18">
        <f>SUM(AD34:AO34)</f>
        <v/>
      </c>
      <c r="AQ34" s="59" t="n"/>
      <c r="AR34" s="60" t="n"/>
      <c r="AS34" s="60" t="n"/>
      <c r="AT34" s="60" t="n"/>
      <c r="AU34" s="60" t="n"/>
      <c r="AV34" s="60" t="n"/>
      <c r="AW34" s="60" t="n"/>
      <c r="AX34" s="60" t="n"/>
      <c r="AY34" s="60" t="n"/>
      <c r="AZ34" s="60" t="n"/>
      <c r="BA34" s="60" t="n"/>
      <c r="BB34" s="60" t="n"/>
      <c r="BC34" s="60" t="n"/>
      <c r="BD34" s="18">
        <f>SUM(AR34:BC34)</f>
        <v/>
      </c>
      <c r="BE34" s="59" t="n"/>
      <c r="BF34" s="60" t="n"/>
      <c r="BG34" s="60" t="n"/>
      <c r="BH34" s="60" t="n"/>
      <c r="BI34" s="60" t="n"/>
      <c r="BJ34" s="60" t="n"/>
      <c r="BK34" s="60" t="n"/>
      <c r="BL34" s="60" t="n"/>
      <c r="BM34" s="60" t="n"/>
      <c r="BN34" s="60" t="n"/>
      <c r="BO34" s="60" t="n"/>
      <c r="BP34" s="60" t="n"/>
      <c r="BQ34" s="60" t="n"/>
      <c r="BR34" s="18">
        <f>SUM(BF34:BQ34)</f>
        <v/>
      </c>
      <c r="BS34" s="59" t="n"/>
      <c r="BT34" s="60" t="n"/>
      <c r="BU34" s="60" t="n"/>
      <c r="BV34" s="60" t="n"/>
      <c r="BW34" s="60" t="n"/>
      <c r="BX34" s="60" t="n"/>
      <c r="BY34" s="60" t="n"/>
      <c r="BZ34" s="60" t="n"/>
      <c r="CA34" s="60" t="n"/>
      <c r="CB34" s="60" t="n"/>
      <c r="CC34" s="60" t="n"/>
      <c r="CD34" s="60" t="n"/>
      <c r="CE34" s="60" t="n"/>
      <c r="CF34" s="18">
        <f>SUM(BT34:CE34)</f>
        <v/>
      </c>
      <c r="CG34" s="59" t="n"/>
      <c r="CH34" s="60" t="n"/>
      <c r="CI34" s="60" t="n"/>
      <c r="CJ34" s="60" t="n"/>
      <c r="CK34" s="60" t="n"/>
      <c r="CL34" s="60" t="n"/>
      <c r="CM34" s="60" t="n"/>
      <c r="CN34" s="60" t="n"/>
      <c r="CO34" s="60" t="n"/>
      <c r="CP34" s="60" t="n"/>
      <c r="CQ34" s="60" t="n"/>
      <c r="CR34" s="60" t="n"/>
      <c r="CS34" s="60" t="n"/>
      <c r="CT34" s="18">
        <f>SUM(CH34:CS34)</f>
        <v/>
      </c>
      <c r="CU34" s="59" t="n"/>
      <c r="CV34" s="60" t="n"/>
      <c r="CW34" s="60" t="n"/>
      <c r="CX34" s="60" t="n"/>
      <c r="CY34" s="60" t="n"/>
      <c r="CZ34" s="60" t="n"/>
      <c r="DA34" s="60" t="n"/>
      <c r="DB34" s="60" t="n"/>
      <c r="DC34" s="60" t="n"/>
      <c r="DD34" s="60" t="n"/>
      <c r="DE34" s="60" t="n"/>
      <c r="DF34" s="60" t="n"/>
      <c r="DG34" s="60" t="n"/>
      <c r="DH34" s="18">
        <f>SUM(CV34:DG34)</f>
        <v/>
      </c>
      <c r="DI34" s="59" t="n"/>
      <c r="DJ34" s="60" t="n"/>
      <c r="DK34" s="60" t="n"/>
      <c r="DL34" s="60" t="n"/>
      <c r="DM34" s="60" t="n"/>
      <c r="DN34" s="60" t="n"/>
      <c r="DO34" s="60" t="n"/>
      <c r="DP34" s="60" t="n"/>
      <c r="DQ34" s="60" t="n"/>
      <c r="DR34" s="60" t="n"/>
      <c r="DS34" s="60" t="n"/>
      <c r="DT34" s="60" t="n"/>
      <c r="DU34" s="60" t="n"/>
      <c r="DV34" s="18">
        <f>SUM(DJ34:DU34)</f>
        <v/>
      </c>
      <c r="DW34" s="59" t="n"/>
      <c r="DX34" s="60" t="n"/>
      <c r="DY34" s="60" t="n"/>
      <c r="DZ34" s="60" t="n"/>
      <c r="EA34" s="60" t="n"/>
      <c r="EB34" s="60" t="n"/>
      <c r="EC34" s="60" t="n"/>
      <c r="ED34" s="60" t="n"/>
      <c r="EE34" s="60" t="n"/>
      <c r="EF34" s="60" t="n"/>
      <c r="EG34" s="60" t="n"/>
      <c r="EH34" s="60" t="n"/>
      <c r="EI34" s="60" t="n"/>
      <c r="EJ34" s="18">
        <f>SUM(DX34:EI34)</f>
        <v/>
      </c>
      <c r="EK34" s="59" t="n"/>
      <c r="EL34" s="60" t="n"/>
      <c r="EM34" s="60" t="n"/>
      <c r="EN34" s="60" t="n"/>
      <c r="EO34" s="60" t="n"/>
      <c r="EP34" s="60" t="n"/>
      <c r="EQ34" s="60" t="n"/>
      <c r="ER34" s="60" t="n"/>
      <c r="ES34" s="60" t="n"/>
      <c r="ET34" s="60" t="n"/>
      <c r="EU34" s="60" t="n"/>
      <c r="EV34" s="60" t="n"/>
      <c r="EW34" s="60" t="n"/>
      <c r="EX34" s="18">
        <f>SUM(EL34:EW34)</f>
        <v/>
      </c>
      <c r="EY34" s="59" t="n"/>
      <c r="EZ34" s="60" t="n"/>
      <c r="FA34" s="60" t="n"/>
      <c r="FB34" s="60" t="n"/>
      <c r="FC34" s="60" t="n"/>
      <c r="FD34" s="60" t="n"/>
      <c r="FE34" s="60" t="n"/>
      <c r="FF34" s="60" t="n"/>
      <c r="FG34" s="60" t="n"/>
      <c r="FH34" s="60" t="n"/>
      <c r="FI34" s="60" t="n"/>
      <c r="FJ34" s="60" t="n"/>
      <c r="FK34" s="60" t="n"/>
      <c r="FL34" s="18">
        <f>SUM(EZ34:FK34)</f>
        <v/>
      </c>
      <c r="FM34" s="59" t="n"/>
      <c r="FN34" s="60" t="n"/>
      <c r="FO34" s="60" t="n"/>
      <c r="FP34" s="60" t="n"/>
      <c r="FQ34" s="60" t="n"/>
      <c r="FR34" s="60" t="n"/>
      <c r="FS34" s="60" t="n"/>
      <c r="FT34" s="60" t="n"/>
      <c r="FU34" s="60" t="n"/>
      <c r="FV34" s="60" t="n"/>
      <c r="FW34" s="60" t="n"/>
      <c r="FX34" s="60" t="n"/>
      <c r="FY34" s="60" t="n"/>
      <c r="FZ34" s="18">
        <f>SUM(FN34:FY34)</f>
        <v/>
      </c>
      <c r="GA34" s="59" t="n"/>
      <c r="GB34" s="60" t="n"/>
      <c r="GC34" s="60" t="n"/>
      <c r="GD34" s="60" t="n"/>
      <c r="GE34" s="60" t="n"/>
      <c r="GF34" s="60" t="n"/>
      <c r="GG34" s="60" t="n"/>
      <c r="GH34" s="60" t="n"/>
      <c r="GI34" s="60" t="n"/>
      <c r="GJ34" s="60" t="n"/>
      <c r="GK34" s="60" t="n"/>
      <c r="GL34" s="60" t="n"/>
      <c r="GM34" s="60" t="n"/>
      <c r="GN34" s="18">
        <f>SUM(GB34:GM34)</f>
        <v/>
      </c>
      <c r="GO34" s="59" t="n"/>
      <c r="GP34" s="60" t="n"/>
      <c r="GQ34" s="60" t="n"/>
      <c r="GR34" s="60" t="n"/>
      <c r="GS34" s="60" t="n"/>
      <c r="GT34" s="60" t="n"/>
      <c r="GU34" s="60" t="n"/>
      <c r="GV34" s="60" t="n"/>
      <c r="GW34" s="60" t="n"/>
      <c r="GX34" s="60" t="n"/>
      <c r="GY34" s="60" t="n"/>
      <c r="GZ34" s="60" t="n"/>
      <c r="HA34" s="60" t="n"/>
      <c r="HB34" s="18">
        <f>SUM(GP34:HA34)</f>
        <v/>
      </c>
      <c r="HC34" s="59" t="n"/>
      <c r="HD34" s="60" t="n"/>
      <c r="HE34" s="60" t="n"/>
      <c r="HF34" s="60" t="n"/>
      <c r="HG34" s="60" t="n"/>
      <c r="HH34" s="60" t="n"/>
      <c r="HI34" s="60" t="n"/>
      <c r="HJ34" s="60" t="n"/>
      <c r="HK34" s="60" t="n"/>
      <c r="HL34" s="60" t="n"/>
      <c r="HM34" s="60" t="n"/>
      <c r="HN34" s="60" t="n"/>
      <c r="HO34" s="60" t="n"/>
      <c r="HP34" s="18">
        <f>SUM(HD34:HO34)</f>
        <v/>
      </c>
      <c r="HQ34" s="59" t="n"/>
      <c r="HR34" s="60" t="n"/>
      <c r="HS34" s="60" t="n"/>
      <c r="HT34" s="60" t="n"/>
      <c r="HU34" s="60" t="n"/>
      <c r="HV34" s="60" t="n"/>
      <c r="HW34" s="60" t="n"/>
      <c r="HX34" s="60" t="n"/>
      <c r="HY34" s="60" t="n"/>
      <c r="HZ34" s="60" t="n"/>
      <c r="IA34" s="60" t="n"/>
      <c r="IB34" s="60" t="n"/>
      <c r="IC34" s="60" t="n"/>
      <c r="ID34" s="18">
        <f>SUM(HR34:IC34)</f>
        <v/>
      </c>
      <c r="IE34" s="59" t="n"/>
      <c r="IF34" s="60" t="n"/>
      <c r="IG34" s="60" t="n"/>
      <c r="IH34" s="60" t="n"/>
      <c r="II34" s="60" t="n"/>
      <c r="IJ34" s="60" t="n"/>
      <c r="IK34" s="60" t="n"/>
      <c r="IL34" s="60" t="n"/>
      <c r="IM34" s="60" t="n"/>
      <c r="IN34" s="60" t="n"/>
      <c r="IO34" s="60" t="n"/>
      <c r="IP34" s="60" t="n"/>
      <c r="IQ34" s="60" t="n"/>
      <c r="IR34" s="18">
        <f>SUM(IF34:IQ34)</f>
        <v/>
      </c>
      <c r="IS34" s="59" t="n"/>
      <c r="IT34" s="60" t="n"/>
      <c r="IU34" s="60" t="n"/>
      <c r="IV34" s="60" t="n"/>
      <c r="IW34" s="60" t="n"/>
      <c r="IX34" s="60" t="n"/>
      <c r="IY34" s="60" t="n"/>
      <c r="IZ34" s="60" t="n"/>
      <c r="JA34" s="60" t="n"/>
      <c r="JB34" s="60" t="n"/>
      <c r="JC34" s="60" t="n"/>
      <c r="JD34" s="60" t="n"/>
      <c r="JE34" s="60" t="n"/>
      <c r="JF34" s="18">
        <f>SUM(IT34:JE34)</f>
        <v/>
      </c>
      <c r="JG34" s="59" t="n"/>
      <c r="JH34" s="60" t="n"/>
      <c r="JI34" s="60" t="n"/>
      <c r="JJ34" s="60" t="n"/>
      <c r="JK34" s="60" t="n"/>
      <c r="JL34" s="60" t="n"/>
      <c r="JM34" s="60" t="n"/>
      <c r="JN34" s="60" t="n"/>
      <c r="JO34" s="60" t="n"/>
      <c r="JP34" s="60" t="n"/>
      <c r="JQ34" s="60" t="n"/>
      <c r="JR34" s="60" t="n"/>
      <c r="JS34" s="60" t="n"/>
      <c r="JT34" s="18">
        <f>SUM(JH34:JS34)</f>
        <v/>
      </c>
      <c r="JU34" s="59" t="n"/>
      <c r="JV34" s="60" t="n"/>
      <c r="JW34" s="60" t="n"/>
      <c r="JX34" s="60" t="n"/>
      <c r="JY34" s="60" t="n"/>
      <c r="JZ34" s="60" t="n"/>
      <c r="KA34" s="60" t="n"/>
      <c r="KB34" s="60" t="n"/>
      <c r="KC34" s="60" t="n"/>
      <c r="KD34" s="60" t="n"/>
      <c r="KE34" s="60" t="n"/>
      <c r="KF34" s="60" t="n"/>
      <c r="KG34" s="60" t="n"/>
      <c r="KH34" s="18">
        <f>SUM(JV34:KG34)</f>
        <v/>
      </c>
      <c r="KI34" s="59" t="n"/>
      <c r="KJ34" s="60" t="n"/>
      <c r="KK34" s="60" t="n"/>
      <c r="KL34" s="60" t="n"/>
      <c r="KM34" s="60" t="n"/>
      <c r="KN34" s="60" t="n"/>
      <c r="KO34" s="60" t="n"/>
      <c r="KP34" s="60" t="n"/>
      <c r="KQ34" s="60" t="n"/>
      <c r="KR34" s="60" t="n"/>
      <c r="KS34" s="60" t="n"/>
      <c r="KT34" s="60" t="n"/>
      <c r="KU34" s="60" t="n"/>
      <c r="KV34" s="18">
        <f>SUM(KJ34:KU34)</f>
        <v/>
      </c>
      <c r="KW34" s="59" t="n"/>
      <c r="KX34" s="81" t="n"/>
      <c r="KY34" s="76" t="n"/>
    </row>
    <row r="35" ht="14.25" customFormat="1" customHeight="1" s="10">
      <c r="A35" s="17" t="inlineStr">
        <is>
          <t>6.3 โรงงานติดปัญหาด้าน Capacity เครื่องจักร</t>
        </is>
      </c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18">
        <f>SUM(B35:M35)</f>
        <v/>
      </c>
      <c r="O35" s="59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  <c r="AA35" s="60" t="n"/>
      <c r="AB35" s="18">
        <f>SUM(P35:AA35)</f>
        <v/>
      </c>
      <c r="AC35" s="59" t="n"/>
      <c r="AD35" s="60" t="n"/>
      <c r="AE35" s="60" t="n"/>
      <c r="AF35" s="60" t="n"/>
      <c r="AG35" s="60" t="n"/>
      <c r="AH35" s="60" t="n"/>
      <c r="AI35" s="60" t="n"/>
      <c r="AJ35" s="60" t="n"/>
      <c r="AK35" s="60" t="n"/>
      <c r="AL35" s="60" t="n"/>
      <c r="AM35" s="60" t="n"/>
      <c r="AN35" s="60" t="n"/>
      <c r="AO35" s="60" t="n"/>
      <c r="AP35" s="18">
        <f>SUM(AD35:AO35)</f>
        <v/>
      </c>
      <c r="AQ35" s="59" t="n"/>
      <c r="AR35" s="60" t="n"/>
      <c r="AS35" s="60" t="n"/>
      <c r="AT35" s="60" t="n"/>
      <c r="AU35" s="60" t="n"/>
      <c r="AV35" s="60" t="n"/>
      <c r="AW35" s="60" t="n"/>
      <c r="AX35" s="60" t="n"/>
      <c r="AY35" s="60" t="n"/>
      <c r="AZ35" s="60" t="n"/>
      <c r="BA35" s="60" t="n"/>
      <c r="BB35" s="60" t="n"/>
      <c r="BC35" s="60" t="n"/>
      <c r="BD35" s="18">
        <f>SUM(AR35:BC35)</f>
        <v/>
      </c>
      <c r="BE35" s="59" t="n"/>
      <c r="BF35" s="60" t="n"/>
      <c r="BG35" s="60" t="n"/>
      <c r="BH35" s="60" t="n"/>
      <c r="BI35" s="60" t="n"/>
      <c r="BJ35" s="60" t="n"/>
      <c r="BK35" s="60" t="n"/>
      <c r="BL35" s="60" t="n"/>
      <c r="BM35" s="60" t="n"/>
      <c r="BN35" s="60" t="n"/>
      <c r="BO35" s="60" t="n"/>
      <c r="BP35" s="60" t="n"/>
      <c r="BQ35" s="60" t="n"/>
      <c r="BR35" s="18">
        <f>SUM(BF35:BQ35)</f>
        <v/>
      </c>
      <c r="BS35" s="59" t="n"/>
      <c r="BT35" s="60" t="n"/>
      <c r="BU35" s="60" t="n"/>
      <c r="BV35" s="60" t="n"/>
      <c r="BW35" s="60" t="n"/>
      <c r="BX35" s="60" t="n"/>
      <c r="BY35" s="60" t="n"/>
      <c r="BZ35" s="60" t="n"/>
      <c r="CA35" s="60" t="n"/>
      <c r="CB35" s="60" t="n"/>
      <c r="CC35" s="60" t="n"/>
      <c r="CD35" s="60" t="n"/>
      <c r="CE35" s="60" t="n"/>
      <c r="CF35" s="18">
        <f>SUM(BT35:CE35)</f>
        <v/>
      </c>
      <c r="CG35" s="59" t="n"/>
      <c r="CH35" s="60" t="n"/>
      <c r="CI35" s="60" t="n"/>
      <c r="CJ35" s="60" t="n"/>
      <c r="CK35" s="60" t="n"/>
      <c r="CL35" s="60" t="n"/>
      <c r="CM35" s="60" t="n"/>
      <c r="CN35" s="60" t="n"/>
      <c r="CO35" s="60" t="n"/>
      <c r="CP35" s="60" t="n"/>
      <c r="CQ35" s="60" t="n"/>
      <c r="CR35" s="60" t="n"/>
      <c r="CS35" s="60" t="n"/>
      <c r="CT35" s="18">
        <f>SUM(CH35:CS35)</f>
        <v/>
      </c>
      <c r="CU35" s="59" t="n"/>
      <c r="CV35" s="60" t="n"/>
      <c r="CW35" s="60" t="n"/>
      <c r="CX35" s="60" t="n"/>
      <c r="CY35" s="60" t="n"/>
      <c r="CZ35" s="60" t="n"/>
      <c r="DA35" s="60" t="n"/>
      <c r="DB35" s="60" t="n"/>
      <c r="DC35" s="60" t="n"/>
      <c r="DD35" s="60" t="n"/>
      <c r="DE35" s="60" t="n"/>
      <c r="DF35" s="60" t="n"/>
      <c r="DG35" s="60" t="n"/>
      <c r="DH35" s="18">
        <f>SUM(CV35:DG35)</f>
        <v/>
      </c>
      <c r="DI35" s="59" t="n"/>
      <c r="DJ35" s="60" t="n"/>
      <c r="DK35" s="60" t="n"/>
      <c r="DL35" s="60" t="n"/>
      <c r="DM35" s="60" t="n"/>
      <c r="DN35" s="60" t="n"/>
      <c r="DO35" s="60" t="n"/>
      <c r="DP35" s="60" t="n"/>
      <c r="DQ35" s="60" t="n"/>
      <c r="DR35" s="60" t="n"/>
      <c r="DS35" s="60" t="n"/>
      <c r="DT35" s="60" t="n"/>
      <c r="DU35" s="60" t="n"/>
      <c r="DV35" s="18">
        <f>SUM(DJ35:DU35)</f>
        <v/>
      </c>
      <c r="DW35" s="59" t="n"/>
      <c r="DX35" s="60" t="n"/>
      <c r="DY35" s="60" t="n"/>
      <c r="DZ35" s="60" t="n"/>
      <c r="EA35" s="60" t="n"/>
      <c r="EB35" s="60" t="n"/>
      <c r="EC35" s="60" t="n"/>
      <c r="ED35" s="60" t="n"/>
      <c r="EE35" s="60" t="n"/>
      <c r="EF35" s="60" t="n"/>
      <c r="EG35" s="60" t="n"/>
      <c r="EH35" s="60" t="n"/>
      <c r="EI35" s="60" t="n"/>
      <c r="EJ35" s="18">
        <f>SUM(DX35:EI35)</f>
        <v/>
      </c>
      <c r="EK35" s="59" t="n"/>
      <c r="EL35" s="60" t="n"/>
      <c r="EM35" s="60" t="n"/>
      <c r="EN35" s="60" t="n"/>
      <c r="EO35" s="60" t="n"/>
      <c r="EP35" s="60" t="n"/>
      <c r="EQ35" s="60" t="n"/>
      <c r="ER35" s="60" t="n"/>
      <c r="ES35" s="60" t="n"/>
      <c r="ET35" s="60" t="n"/>
      <c r="EU35" s="60" t="n"/>
      <c r="EV35" s="60" t="n"/>
      <c r="EW35" s="60" t="n"/>
      <c r="EX35" s="18">
        <f>SUM(EL35:EW35)</f>
        <v/>
      </c>
      <c r="EY35" s="59" t="n"/>
      <c r="EZ35" s="60" t="n"/>
      <c r="FA35" s="60" t="n"/>
      <c r="FB35" s="60" t="n"/>
      <c r="FC35" s="60" t="n"/>
      <c r="FD35" s="60" t="n"/>
      <c r="FE35" s="60" t="n"/>
      <c r="FF35" s="60" t="n"/>
      <c r="FG35" s="60" t="n"/>
      <c r="FH35" s="60" t="n"/>
      <c r="FI35" s="60" t="n"/>
      <c r="FJ35" s="60" t="n"/>
      <c r="FK35" s="60" t="n"/>
      <c r="FL35" s="18">
        <f>SUM(EZ35:FK35)</f>
        <v/>
      </c>
      <c r="FM35" s="59" t="n"/>
      <c r="FN35" s="60" t="n"/>
      <c r="FO35" s="60" t="n"/>
      <c r="FP35" s="60" t="n"/>
      <c r="FQ35" s="60" t="n"/>
      <c r="FR35" s="60" t="n"/>
      <c r="FS35" s="60" t="n"/>
      <c r="FT35" s="60" t="n"/>
      <c r="FU35" s="60" t="n"/>
      <c r="FV35" s="60" t="n"/>
      <c r="FW35" s="60" t="n"/>
      <c r="FX35" s="60" t="n"/>
      <c r="FY35" s="60" t="n"/>
      <c r="FZ35" s="18">
        <f>SUM(FN35:FY35)</f>
        <v/>
      </c>
      <c r="GA35" s="59" t="n"/>
      <c r="GB35" s="60" t="n"/>
      <c r="GC35" s="60" t="n"/>
      <c r="GD35" s="60" t="n"/>
      <c r="GE35" s="60" t="n"/>
      <c r="GF35" s="60" t="n"/>
      <c r="GG35" s="60" t="n"/>
      <c r="GH35" s="60" t="n"/>
      <c r="GI35" s="60" t="n"/>
      <c r="GJ35" s="60" t="n"/>
      <c r="GK35" s="60" t="n"/>
      <c r="GL35" s="60" t="n"/>
      <c r="GM35" s="60" t="n"/>
      <c r="GN35" s="18">
        <f>SUM(GB35:GM35)</f>
        <v/>
      </c>
      <c r="GO35" s="59" t="n"/>
      <c r="GP35" s="60" t="n"/>
      <c r="GQ35" s="60" t="n"/>
      <c r="GR35" s="60" t="n"/>
      <c r="GS35" s="60" t="n"/>
      <c r="GT35" s="60" t="n"/>
      <c r="GU35" s="60" t="n"/>
      <c r="GV35" s="60" t="n"/>
      <c r="GW35" s="60" t="n"/>
      <c r="GX35" s="60" t="n"/>
      <c r="GY35" s="60" t="n"/>
      <c r="GZ35" s="60" t="n"/>
      <c r="HA35" s="60" t="n"/>
      <c r="HB35" s="18">
        <f>SUM(GP35:HA35)</f>
        <v/>
      </c>
      <c r="HC35" s="59" t="n"/>
      <c r="HD35" s="60" t="n"/>
      <c r="HE35" s="60" t="n"/>
      <c r="HF35" s="60" t="n"/>
      <c r="HG35" s="60" t="n"/>
      <c r="HH35" s="60" t="n"/>
      <c r="HI35" s="60" t="n"/>
      <c r="HJ35" s="60" t="n"/>
      <c r="HK35" s="60" t="n"/>
      <c r="HL35" s="60" t="n"/>
      <c r="HM35" s="60" t="n"/>
      <c r="HN35" s="60" t="n"/>
      <c r="HO35" s="60" t="n"/>
      <c r="HP35" s="18">
        <f>SUM(HD35:HO35)</f>
        <v/>
      </c>
      <c r="HQ35" s="59" t="n"/>
      <c r="HR35" s="60" t="n"/>
      <c r="HS35" s="60" t="n"/>
      <c r="HT35" s="60" t="n"/>
      <c r="HU35" s="60" t="n"/>
      <c r="HV35" s="60" t="n"/>
      <c r="HW35" s="60" t="n"/>
      <c r="HX35" s="60" t="n"/>
      <c r="HY35" s="60" t="n"/>
      <c r="HZ35" s="60" t="n"/>
      <c r="IA35" s="60" t="n"/>
      <c r="IB35" s="60" t="n"/>
      <c r="IC35" s="60" t="n"/>
      <c r="ID35" s="18">
        <f>SUM(HR35:IC35)</f>
        <v/>
      </c>
      <c r="IE35" s="59" t="n"/>
      <c r="IF35" s="60" t="n"/>
      <c r="IG35" s="60" t="n"/>
      <c r="IH35" s="60" t="n"/>
      <c r="II35" s="60" t="n"/>
      <c r="IJ35" s="60" t="n"/>
      <c r="IK35" s="60" t="n"/>
      <c r="IL35" s="60" t="n"/>
      <c r="IM35" s="60" t="n"/>
      <c r="IN35" s="60" t="n"/>
      <c r="IO35" s="60" t="n"/>
      <c r="IP35" s="60" t="n"/>
      <c r="IQ35" s="60" t="n"/>
      <c r="IR35" s="18">
        <f>SUM(IF35:IQ35)</f>
        <v/>
      </c>
      <c r="IS35" s="59" t="n"/>
      <c r="IT35" s="60" t="n"/>
      <c r="IU35" s="60" t="n"/>
      <c r="IV35" s="60" t="n"/>
      <c r="IW35" s="60" t="n"/>
      <c r="IX35" s="60" t="n"/>
      <c r="IY35" s="60" t="n"/>
      <c r="IZ35" s="60" t="n"/>
      <c r="JA35" s="60" t="n"/>
      <c r="JB35" s="60" t="n"/>
      <c r="JC35" s="60" t="n"/>
      <c r="JD35" s="60" t="n"/>
      <c r="JE35" s="60" t="n"/>
      <c r="JF35" s="18">
        <f>SUM(IT35:JE35)</f>
        <v/>
      </c>
      <c r="JG35" s="59" t="n"/>
      <c r="JH35" s="60" t="n"/>
      <c r="JI35" s="60" t="n"/>
      <c r="JJ35" s="60" t="n"/>
      <c r="JK35" s="60" t="n"/>
      <c r="JL35" s="60" t="n"/>
      <c r="JM35" s="60" t="n"/>
      <c r="JN35" s="60" t="n"/>
      <c r="JO35" s="60" t="n"/>
      <c r="JP35" s="60" t="n"/>
      <c r="JQ35" s="60" t="n"/>
      <c r="JR35" s="60" t="n"/>
      <c r="JS35" s="60" t="n"/>
      <c r="JT35" s="18">
        <f>SUM(JH35:JS35)</f>
        <v/>
      </c>
      <c r="JU35" s="59" t="n"/>
      <c r="JV35" s="60" t="n"/>
      <c r="JW35" s="60" t="n"/>
      <c r="JX35" s="60" t="n"/>
      <c r="JY35" s="60" t="n"/>
      <c r="JZ35" s="60" t="n"/>
      <c r="KA35" s="60" t="n"/>
      <c r="KB35" s="60" t="n"/>
      <c r="KC35" s="60" t="n"/>
      <c r="KD35" s="60" t="n"/>
      <c r="KE35" s="60" t="n"/>
      <c r="KF35" s="60" t="n"/>
      <c r="KG35" s="60" t="n"/>
      <c r="KH35" s="18">
        <f>SUM(JV35:KG35)</f>
        <v/>
      </c>
      <c r="KI35" s="59" t="n"/>
      <c r="KJ35" s="60" t="n"/>
      <c r="KK35" s="60" t="n"/>
      <c r="KL35" s="60" t="n"/>
      <c r="KM35" s="60" t="n"/>
      <c r="KN35" s="60" t="n"/>
      <c r="KO35" s="60" t="n"/>
      <c r="KP35" s="60" t="n"/>
      <c r="KQ35" s="60" t="n"/>
      <c r="KR35" s="60" t="n"/>
      <c r="KS35" s="60" t="n"/>
      <c r="KT35" s="60" t="n"/>
      <c r="KU35" s="60" t="n"/>
      <c r="KV35" s="18">
        <f>SUM(KJ35:KU35)</f>
        <v/>
      </c>
      <c r="KW35" s="59" t="n"/>
      <c r="KX35" s="81" t="n"/>
      <c r="KY35" s="76" t="n"/>
    </row>
    <row r="36" ht="14.25" customFormat="1" customHeight="1" s="10">
      <c r="A36" s="17" t="inlineStr">
        <is>
          <t xml:space="preserve">6.4 ติดข้อกำหนดโรงงาน เช่น ข้อกำหนดส่งออก GMP HACCP </t>
        </is>
      </c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4" t="n"/>
      <c r="M36" s="60" t="n"/>
      <c r="N36" s="18">
        <f>SUM(B36:M36)</f>
        <v/>
      </c>
      <c r="O36" s="59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  <c r="Z36" s="4" t="n"/>
      <c r="AA36" s="60" t="n"/>
      <c r="AB36" s="18">
        <f>SUM(P36:AA36)</f>
        <v/>
      </c>
      <c r="AC36" s="59" t="n"/>
      <c r="AD36" s="60" t="n"/>
      <c r="AE36" s="60" t="n"/>
      <c r="AF36" s="60" t="n"/>
      <c r="AG36" s="60" t="n"/>
      <c r="AH36" s="60" t="n"/>
      <c r="AI36" s="60" t="n"/>
      <c r="AJ36" s="60" t="n"/>
      <c r="AK36" s="60" t="n"/>
      <c r="AL36" s="60" t="n"/>
      <c r="AM36" s="60" t="n"/>
      <c r="AN36" s="4" t="n"/>
      <c r="AO36" s="60" t="n"/>
      <c r="AP36" s="18">
        <f>SUM(AD36:AO36)</f>
        <v/>
      </c>
      <c r="AQ36" s="59" t="n"/>
      <c r="AR36" s="60" t="n"/>
      <c r="AS36" s="60" t="n"/>
      <c r="AT36" s="60" t="n"/>
      <c r="AU36" s="60" t="n"/>
      <c r="AV36" s="60" t="n"/>
      <c r="AW36" s="60" t="n"/>
      <c r="AX36" s="60" t="n"/>
      <c r="AY36" s="60" t="n"/>
      <c r="AZ36" s="60" t="n"/>
      <c r="BA36" s="60" t="n"/>
      <c r="BB36" s="4" t="n"/>
      <c r="BC36" s="60" t="n"/>
      <c r="BD36" s="18">
        <f>SUM(AR36:BC36)</f>
        <v/>
      </c>
      <c r="BE36" s="59" t="n"/>
      <c r="BF36" s="60" t="n"/>
      <c r="BG36" s="60" t="n"/>
      <c r="BH36" s="60" t="n"/>
      <c r="BI36" s="60" t="n"/>
      <c r="BJ36" s="60" t="n"/>
      <c r="BK36" s="60" t="n"/>
      <c r="BL36" s="60" t="n"/>
      <c r="BM36" s="60" t="n"/>
      <c r="BN36" s="60" t="n"/>
      <c r="BO36" s="60" t="n"/>
      <c r="BP36" s="4" t="n"/>
      <c r="BQ36" s="60" t="n"/>
      <c r="BR36" s="18">
        <f>SUM(BF36:BQ36)</f>
        <v/>
      </c>
      <c r="BS36" s="59" t="n"/>
      <c r="BT36" s="60" t="n"/>
      <c r="BU36" s="60" t="n"/>
      <c r="BV36" s="60" t="n"/>
      <c r="BW36" s="60" t="n"/>
      <c r="BX36" s="60" t="n"/>
      <c r="BY36" s="60" t="n"/>
      <c r="BZ36" s="60" t="n"/>
      <c r="CA36" s="60" t="n"/>
      <c r="CB36" s="60" t="n"/>
      <c r="CC36" s="60" t="n"/>
      <c r="CD36" s="4" t="n"/>
      <c r="CE36" s="60" t="n"/>
      <c r="CF36" s="18">
        <f>SUM(BT36:CE36)</f>
        <v/>
      </c>
      <c r="CG36" s="59" t="n"/>
      <c r="CH36" s="60" t="n"/>
      <c r="CI36" s="60" t="n"/>
      <c r="CJ36" s="60" t="n"/>
      <c r="CK36" s="60" t="n"/>
      <c r="CL36" s="60" t="n"/>
      <c r="CM36" s="60" t="n"/>
      <c r="CN36" s="60" t="n"/>
      <c r="CO36" s="60" t="n"/>
      <c r="CP36" s="60" t="n"/>
      <c r="CQ36" s="60" t="n"/>
      <c r="CR36" s="4" t="n"/>
      <c r="CS36" s="60" t="n"/>
      <c r="CT36" s="18">
        <f>SUM(CH36:CS36)</f>
        <v/>
      </c>
      <c r="CU36" s="59" t="n"/>
      <c r="CV36" s="60" t="n"/>
      <c r="CW36" s="60" t="n"/>
      <c r="CX36" s="60" t="n"/>
      <c r="CY36" s="60" t="n"/>
      <c r="CZ36" s="60" t="n"/>
      <c r="DA36" s="60" t="n"/>
      <c r="DB36" s="60" t="n"/>
      <c r="DC36" s="60" t="n"/>
      <c r="DD36" s="60" t="n"/>
      <c r="DE36" s="60" t="n"/>
      <c r="DF36" s="4" t="n"/>
      <c r="DG36" s="60" t="n"/>
      <c r="DH36" s="18">
        <f>SUM(CV36:DG36)</f>
        <v/>
      </c>
      <c r="DI36" s="59" t="n"/>
      <c r="DJ36" s="60" t="n"/>
      <c r="DK36" s="60" t="n"/>
      <c r="DL36" s="60" t="n"/>
      <c r="DM36" s="60" t="n"/>
      <c r="DN36" s="60" t="n"/>
      <c r="DO36" s="60" t="n"/>
      <c r="DP36" s="60" t="n"/>
      <c r="DQ36" s="60" t="n"/>
      <c r="DR36" s="60" t="n"/>
      <c r="DS36" s="60" t="n"/>
      <c r="DT36" s="4" t="n"/>
      <c r="DU36" s="60" t="n"/>
      <c r="DV36" s="18">
        <f>SUM(DJ36:DU36)</f>
        <v/>
      </c>
      <c r="DW36" s="59" t="n"/>
      <c r="DX36" s="60" t="n"/>
      <c r="DY36" s="60" t="n"/>
      <c r="DZ36" s="60" t="n"/>
      <c r="EA36" s="60" t="n"/>
      <c r="EB36" s="60" t="n"/>
      <c r="EC36" s="60" t="n"/>
      <c r="ED36" s="60" t="n"/>
      <c r="EE36" s="60" t="n"/>
      <c r="EF36" s="60" t="n"/>
      <c r="EG36" s="60" t="n"/>
      <c r="EH36" s="4" t="n"/>
      <c r="EI36" s="60" t="n"/>
      <c r="EJ36" s="18">
        <f>SUM(DX36:EI36)</f>
        <v/>
      </c>
      <c r="EK36" s="59" t="n"/>
      <c r="EL36" s="60" t="n"/>
      <c r="EM36" s="60" t="n"/>
      <c r="EN36" s="60" t="n"/>
      <c r="EO36" s="60" t="n"/>
      <c r="EP36" s="60" t="n"/>
      <c r="EQ36" s="60" t="n"/>
      <c r="ER36" s="60" t="n"/>
      <c r="ES36" s="60" t="n"/>
      <c r="ET36" s="60" t="n"/>
      <c r="EU36" s="60" t="n"/>
      <c r="EV36" s="4" t="n"/>
      <c r="EW36" s="60" t="n"/>
      <c r="EX36" s="18">
        <f>SUM(EL36:EW36)</f>
        <v/>
      </c>
      <c r="EY36" s="59" t="n"/>
      <c r="EZ36" s="60" t="n"/>
      <c r="FA36" s="60" t="n"/>
      <c r="FB36" s="60" t="n"/>
      <c r="FC36" s="60" t="n"/>
      <c r="FD36" s="60" t="n"/>
      <c r="FE36" s="60" t="n"/>
      <c r="FF36" s="60" t="n"/>
      <c r="FG36" s="60" t="n"/>
      <c r="FH36" s="60" t="n"/>
      <c r="FI36" s="60" t="n"/>
      <c r="FJ36" s="4" t="n"/>
      <c r="FK36" s="60" t="n"/>
      <c r="FL36" s="18">
        <f>SUM(EZ36:FK36)</f>
        <v/>
      </c>
      <c r="FM36" s="59" t="n"/>
      <c r="FN36" s="60" t="n"/>
      <c r="FO36" s="60" t="n"/>
      <c r="FP36" s="60" t="n"/>
      <c r="FQ36" s="60" t="n"/>
      <c r="FR36" s="60" t="n"/>
      <c r="FS36" s="60" t="n"/>
      <c r="FT36" s="60" t="n"/>
      <c r="FU36" s="60" t="n"/>
      <c r="FV36" s="60" t="n"/>
      <c r="FW36" s="60" t="n"/>
      <c r="FX36" s="4" t="n"/>
      <c r="FY36" s="60" t="n"/>
      <c r="FZ36" s="18">
        <f>SUM(FN36:FY36)</f>
        <v/>
      </c>
      <c r="GA36" s="59" t="n"/>
      <c r="GB36" s="60" t="n"/>
      <c r="GC36" s="60" t="n"/>
      <c r="GD36" s="60" t="n"/>
      <c r="GE36" s="60" t="n"/>
      <c r="GF36" s="60" t="n"/>
      <c r="GG36" s="60" t="n"/>
      <c r="GH36" s="60" t="n"/>
      <c r="GI36" s="60" t="n"/>
      <c r="GJ36" s="60" t="n"/>
      <c r="GK36" s="60" t="n"/>
      <c r="GL36" s="4" t="n"/>
      <c r="GM36" s="60" t="n"/>
      <c r="GN36" s="18">
        <f>SUM(GB36:GM36)</f>
        <v/>
      </c>
      <c r="GO36" s="59" t="n"/>
      <c r="GP36" s="60" t="n"/>
      <c r="GQ36" s="60" t="n"/>
      <c r="GR36" s="60" t="n"/>
      <c r="GS36" s="60" t="n"/>
      <c r="GT36" s="60" t="n"/>
      <c r="GU36" s="60" t="n"/>
      <c r="GV36" s="60" t="n"/>
      <c r="GW36" s="60" t="n"/>
      <c r="GX36" s="60" t="n"/>
      <c r="GY36" s="60" t="n"/>
      <c r="GZ36" s="60" t="n"/>
      <c r="HA36" s="60" t="n"/>
      <c r="HB36" s="18">
        <f>SUM(GP36:HA36)</f>
        <v/>
      </c>
      <c r="HC36" s="59" t="n"/>
      <c r="HD36" s="60" t="n"/>
      <c r="HE36" s="60" t="n"/>
      <c r="HF36" s="60" t="n"/>
      <c r="HG36" s="60" t="n"/>
      <c r="HH36" s="60" t="n"/>
      <c r="HI36" s="60" t="n"/>
      <c r="HJ36" s="60" t="n"/>
      <c r="HK36" s="60" t="n"/>
      <c r="HL36" s="60" t="n"/>
      <c r="HM36" s="60" t="n"/>
      <c r="HN36" s="4" t="n"/>
      <c r="HO36" s="60" t="n"/>
      <c r="HP36" s="18">
        <f>SUM(HD36:HO36)</f>
        <v/>
      </c>
      <c r="HQ36" s="59" t="n"/>
      <c r="HR36" s="60" t="n"/>
      <c r="HS36" s="60" t="n"/>
      <c r="HT36" s="60" t="n"/>
      <c r="HU36" s="60" t="n"/>
      <c r="HV36" s="60" t="n"/>
      <c r="HW36" s="60" t="n"/>
      <c r="HX36" s="60" t="n"/>
      <c r="HY36" s="60" t="n"/>
      <c r="HZ36" s="60" t="n"/>
      <c r="IA36" s="60" t="n"/>
      <c r="IB36" s="4" t="n"/>
      <c r="IC36" s="60" t="n"/>
      <c r="ID36" s="18">
        <f>SUM(HR36:IC36)</f>
        <v/>
      </c>
      <c r="IE36" s="59" t="n"/>
      <c r="IF36" s="60" t="n"/>
      <c r="IG36" s="60" t="n"/>
      <c r="IH36" s="60" t="n"/>
      <c r="II36" s="60" t="n"/>
      <c r="IJ36" s="60" t="n"/>
      <c r="IK36" s="60" t="n"/>
      <c r="IL36" s="60" t="n"/>
      <c r="IM36" s="60" t="n"/>
      <c r="IN36" s="60" t="n"/>
      <c r="IO36" s="60" t="n"/>
      <c r="IP36" s="4" t="n"/>
      <c r="IQ36" s="60" t="n"/>
      <c r="IR36" s="18">
        <f>SUM(IF36:IQ36)</f>
        <v/>
      </c>
      <c r="IS36" s="59" t="n"/>
      <c r="IT36" s="60" t="n"/>
      <c r="IU36" s="60" t="n"/>
      <c r="IV36" s="60" t="n"/>
      <c r="IW36" s="60" t="n"/>
      <c r="IX36" s="60" t="n"/>
      <c r="IY36" s="60" t="n"/>
      <c r="IZ36" s="60" t="n"/>
      <c r="JA36" s="60" t="n"/>
      <c r="JB36" s="60" t="n"/>
      <c r="JC36" s="60" t="n"/>
      <c r="JD36" s="60" t="n"/>
      <c r="JE36" s="60" t="n"/>
      <c r="JF36" s="18">
        <f>SUM(IT36:JE36)</f>
        <v/>
      </c>
      <c r="JG36" s="59" t="n"/>
      <c r="JH36" s="60" t="n"/>
      <c r="JI36" s="60" t="n"/>
      <c r="JJ36" s="60" t="n"/>
      <c r="JK36" s="60" t="n"/>
      <c r="JL36" s="60" t="n"/>
      <c r="JM36" s="60" t="n"/>
      <c r="JN36" s="60" t="n"/>
      <c r="JO36" s="60" t="n"/>
      <c r="JP36" s="60" t="n"/>
      <c r="JQ36" s="60" t="n"/>
      <c r="JR36" s="60" t="n"/>
      <c r="JS36" s="60" t="n"/>
      <c r="JT36" s="18">
        <f>SUM(JH36:JS36)</f>
        <v/>
      </c>
      <c r="JU36" s="59" t="n"/>
      <c r="JV36" s="60" t="n"/>
      <c r="JW36" s="60" t="n"/>
      <c r="JX36" s="60" t="n"/>
      <c r="JY36" s="60" t="n"/>
      <c r="JZ36" s="60" t="n"/>
      <c r="KA36" s="60" t="n"/>
      <c r="KB36" s="60" t="n"/>
      <c r="KC36" s="60" t="n"/>
      <c r="KD36" s="60" t="n"/>
      <c r="KE36" s="60" t="n"/>
      <c r="KF36" s="60" t="n"/>
      <c r="KG36" s="60" t="n"/>
      <c r="KH36" s="18">
        <f>SUM(JV36:KG36)</f>
        <v/>
      </c>
      <c r="KI36" s="59" t="n"/>
      <c r="KJ36" s="60" t="n"/>
      <c r="KK36" s="60" t="n"/>
      <c r="KL36" s="60" t="n"/>
      <c r="KM36" s="60" t="n"/>
      <c r="KN36" s="60" t="n"/>
      <c r="KO36" s="60" t="n"/>
      <c r="KP36" s="60" t="n"/>
      <c r="KQ36" s="60" t="n"/>
      <c r="KR36" s="60" t="n"/>
      <c r="KS36" s="60" t="n"/>
      <c r="KT36" s="60" t="n"/>
      <c r="KU36" s="60" t="n"/>
      <c r="KV36" s="18">
        <f>SUM(KJ36:KU36)</f>
        <v/>
      </c>
      <c r="KW36" s="59" t="n"/>
      <c r="KX36" s="81" t="n"/>
      <c r="KY36" s="76" t="n"/>
    </row>
    <row r="37" ht="14.25" customFormat="1" customHeight="1" s="10">
      <c r="A37" s="17" t="inlineStr">
        <is>
          <t>6.5 เครื่องจักรที่มีในโรงงานยังไม่รองรับการผลิต</t>
        </is>
      </c>
      <c r="B37" s="60" t="n"/>
      <c r="C37" s="60" t="n"/>
      <c r="D37" s="60" t="n"/>
      <c r="E37" s="60" t="n"/>
      <c r="F37" s="60" t="n"/>
      <c r="G37" s="60" t="n"/>
      <c r="H37" s="60" t="n"/>
      <c r="I37" s="60" t="n"/>
      <c r="J37" s="60" t="n"/>
      <c r="K37" s="60" t="n"/>
      <c r="L37" s="4" t="n"/>
      <c r="M37" s="60" t="n"/>
      <c r="N37" s="18">
        <f>SUM(B37:M37)</f>
        <v/>
      </c>
      <c r="O37" s="59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4" t="n"/>
      <c r="AA37" s="60" t="n"/>
      <c r="AB37" s="18">
        <f>SUM(P37:AA37)</f>
        <v/>
      </c>
      <c r="AC37" s="59" t="n"/>
      <c r="AD37" s="60" t="n"/>
      <c r="AE37" s="60" t="n"/>
      <c r="AF37" s="60" t="n"/>
      <c r="AG37" s="60" t="n"/>
      <c r="AH37" s="60" t="n"/>
      <c r="AI37" s="60" t="n"/>
      <c r="AJ37" s="60" t="n"/>
      <c r="AK37" s="60" t="n"/>
      <c r="AL37" s="60" t="n"/>
      <c r="AM37" s="60" t="n"/>
      <c r="AN37" s="4" t="n"/>
      <c r="AO37" s="60" t="n"/>
      <c r="AP37" s="18">
        <f>SUM(AD37:AO37)</f>
        <v/>
      </c>
      <c r="AQ37" s="59" t="n"/>
      <c r="AR37" s="60" t="n"/>
      <c r="AS37" s="60" t="n"/>
      <c r="AT37" s="60" t="n"/>
      <c r="AU37" s="60" t="n"/>
      <c r="AV37" s="60" t="n"/>
      <c r="AW37" s="60" t="n"/>
      <c r="AX37" s="60" t="n"/>
      <c r="AY37" s="60" t="n"/>
      <c r="AZ37" s="60" t="n"/>
      <c r="BA37" s="60" t="n"/>
      <c r="BB37" s="4" t="n"/>
      <c r="BC37" s="60" t="n"/>
      <c r="BD37" s="18">
        <f>SUM(AR37:BC37)</f>
        <v/>
      </c>
      <c r="BE37" s="59" t="n"/>
      <c r="BF37" s="60" t="n"/>
      <c r="BG37" s="60" t="n"/>
      <c r="BH37" s="60" t="n"/>
      <c r="BI37" s="60" t="n"/>
      <c r="BJ37" s="60" t="n"/>
      <c r="BK37" s="60" t="n"/>
      <c r="BL37" s="60" t="n"/>
      <c r="BM37" s="60" t="n"/>
      <c r="BN37" s="60" t="n"/>
      <c r="BO37" s="60" t="n"/>
      <c r="BP37" s="4" t="n"/>
      <c r="BQ37" s="60" t="n"/>
      <c r="BR37" s="18">
        <f>SUM(BF37:BQ37)</f>
        <v/>
      </c>
      <c r="BS37" s="59" t="n"/>
      <c r="BT37" s="60" t="n"/>
      <c r="BU37" s="60" t="n"/>
      <c r="BV37" s="60" t="n"/>
      <c r="BW37" s="60" t="n"/>
      <c r="BX37" s="60" t="n"/>
      <c r="BY37" s="60" t="n"/>
      <c r="BZ37" s="60" t="n"/>
      <c r="CA37" s="60" t="n"/>
      <c r="CB37" s="60" t="n"/>
      <c r="CC37" s="60" t="n"/>
      <c r="CD37" s="4" t="n"/>
      <c r="CE37" s="60" t="n"/>
      <c r="CF37" s="18">
        <f>SUM(BT37:CE37)</f>
        <v/>
      </c>
      <c r="CG37" s="59" t="n"/>
      <c r="CH37" s="60" t="n"/>
      <c r="CI37" s="60" t="n"/>
      <c r="CJ37" s="60" t="n"/>
      <c r="CK37" s="60" t="n"/>
      <c r="CL37" s="60" t="n"/>
      <c r="CM37" s="60" t="n"/>
      <c r="CN37" s="60" t="n"/>
      <c r="CO37" s="60" t="n"/>
      <c r="CP37" s="60" t="n"/>
      <c r="CQ37" s="60" t="n"/>
      <c r="CR37" s="4" t="n"/>
      <c r="CS37" s="60" t="n"/>
      <c r="CT37" s="18">
        <f>SUM(CH37:CS37)</f>
        <v/>
      </c>
      <c r="CU37" s="59" t="n"/>
      <c r="CV37" s="60" t="n"/>
      <c r="CW37" s="60" t="n"/>
      <c r="CX37" s="60" t="n"/>
      <c r="CY37" s="60" t="n"/>
      <c r="CZ37" s="60" t="n"/>
      <c r="DA37" s="60" t="n"/>
      <c r="DB37" s="60" t="n"/>
      <c r="DC37" s="60" t="n"/>
      <c r="DD37" s="60" t="n"/>
      <c r="DE37" s="60" t="n"/>
      <c r="DF37" s="4" t="n"/>
      <c r="DG37" s="60" t="n"/>
      <c r="DH37" s="18">
        <f>SUM(CV37:DG37)</f>
        <v/>
      </c>
      <c r="DI37" s="59" t="n"/>
      <c r="DJ37" s="60" t="n"/>
      <c r="DK37" s="60" t="n"/>
      <c r="DL37" s="60" t="n"/>
      <c r="DM37" s="60" t="n"/>
      <c r="DN37" s="60" t="n"/>
      <c r="DO37" s="60" t="n"/>
      <c r="DP37" s="60" t="n"/>
      <c r="DQ37" s="60" t="n"/>
      <c r="DR37" s="60" t="n"/>
      <c r="DS37" s="60" t="n"/>
      <c r="DT37" s="4" t="n"/>
      <c r="DU37" s="60" t="n"/>
      <c r="DV37" s="18">
        <f>SUM(DJ37:DU37)</f>
        <v/>
      </c>
      <c r="DW37" s="59" t="n"/>
      <c r="DX37" s="60" t="n"/>
      <c r="DY37" s="60" t="n"/>
      <c r="DZ37" s="60" t="n"/>
      <c r="EA37" s="60" t="n"/>
      <c r="EB37" s="60" t="n"/>
      <c r="EC37" s="60" t="n"/>
      <c r="ED37" s="60" t="n"/>
      <c r="EE37" s="60" t="n"/>
      <c r="EF37" s="60" t="n"/>
      <c r="EG37" s="60" t="n"/>
      <c r="EH37" s="4" t="n"/>
      <c r="EI37" s="60" t="n"/>
      <c r="EJ37" s="18">
        <f>SUM(DX37:EI37)</f>
        <v/>
      </c>
      <c r="EK37" s="59" t="n"/>
      <c r="EL37" s="60" t="n"/>
      <c r="EM37" s="60" t="n"/>
      <c r="EN37" s="60" t="n"/>
      <c r="EO37" s="60" t="n"/>
      <c r="EP37" s="60" t="n"/>
      <c r="EQ37" s="60" t="n"/>
      <c r="ER37" s="60" t="n"/>
      <c r="ES37" s="60" t="n"/>
      <c r="ET37" s="60" t="n"/>
      <c r="EU37" s="60" t="n"/>
      <c r="EV37" s="4" t="n"/>
      <c r="EW37" s="60" t="n"/>
      <c r="EX37" s="18">
        <f>SUM(EL37:EW37)</f>
        <v/>
      </c>
      <c r="EY37" s="59" t="n"/>
      <c r="EZ37" s="60" t="n"/>
      <c r="FA37" s="60" t="n"/>
      <c r="FB37" s="60" t="n"/>
      <c r="FC37" s="60" t="n"/>
      <c r="FD37" s="60" t="n"/>
      <c r="FE37" s="60" t="n"/>
      <c r="FF37" s="60" t="n"/>
      <c r="FG37" s="60" t="n"/>
      <c r="FH37" s="60" t="n"/>
      <c r="FI37" s="60" t="n"/>
      <c r="FJ37" s="4" t="n"/>
      <c r="FK37" s="60" t="n"/>
      <c r="FL37" s="18">
        <f>SUM(EZ37:FK37)</f>
        <v/>
      </c>
      <c r="FM37" s="59" t="n"/>
      <c r="FN37" s="60" t="n"/>
      <c r="FO37" s="60" t="n"/>
      <c r="FP37" s="60" t="n"/>
      <c r="FQ37" s="60" t="n"/>
      <c r="FR37" s="60" t="n"/>
      <c r="FS37" s="60" t="n"/>
      <c r="FT37" s="60" t="n"/>
      <c r="FU37" s="60" t="n"/>
      <c r="FV37" s="60" t="n"/>
      <c r="FW37" s="60" t="n"/>
      <c r="FX37" s="4" t="n"/>
      <c r="FY37" s="60" t="n"/>
      <c r="FZ37" s="18">
        <f>SUM(FN37:FY37)</f>
        <v/>
      </c>
      <c r="GA37" s="59" t="n"/>
      <c r="GB37" s="60" t="n"/>
      <c r="GC37" s="60" t="n"/>
      <c r="GD37" s="60" t="n"/>
      <c r="GE37" s="60" t="n"/>
      <c r="GF37" s="60" t="n"/>
      <c r="GG37" s="60" t="n"/>
      <c r="GH37" s="60" t="n"/>
      <c r="GI37" s="60" t="n"/>
      <c r="GJ37" s="60" t="n"/>
      <c r="GK37" s="60" t="n"/>
      <c r="GL37" s="4" t="n"/>
      <c r="GM37" s="60" t="n"/>
      <c r="GN37" s="18">
        <f>SUM(GB37:GM37)</f>
        <v/>
      </c>
      <c r="GO37" s="59" t="n"/>
      <c r="GP37" s="60" t="n"/>
      <c r="GQ37" s="60" t="n"/>
      <c r="GR37" s="60" t="n"/>
      <c r="GS37" s="60" t="n"/>
      <c r="GT37" s="60" t="n"/>
      <c r="GU37" s="60" t="n"/>
      <c r="GV37" s="60" t="n"/>
      <c r="GW37" s="60" t="n"/>
      <c r="GX37" s="60" t="n"/>
      <c r="GY37" s="60" t="n"/>
      <c r="GZ37" s="60" t="n"/>
      <c r="HA37" s="60" t="n"/>
      <c r="HB37" s="18">
        <f>SUM(GP37:HA37)</f>
        <v/>
      </c>
      <c r="HC37" s="59" t="n"/>
      <c r="HD37" s="60" t="n"/>
      <c r="HE37" s="60" t="n"/>
      <c r="HF37" s="60" t="n"/>
      <c r="HG37" s="60" t="n"/>
      <c r="HH37" s="60" t="n"/>
      <c r="HI37" s="60" t="n"/>
      <c r="HJ37" s="60" t="n"/>
      <c r="HK37" s="60" t="n"/>
      <c r="HL37" s="60" t="n"/>
      <c r="HM37" s="60" t="n"/>
      <c r="HN37" s="4" t="n"/>
      <c r="HO37" s="60" t="n"/>
      <c r="HP37" s="18">
        <f>SUM(HD37:HO37)</f>
        <v/>
      </c>
      <c r="HQ37" s="59" t="n"/>
      <c r="HR37" s="60" t="n"/>
      <c r="HS37" s="60" t="n"/>
      <c r="HT37" s="60" t="n"/>
      <c r="HU37" s="60" t="n"/>
      <c r="HV37" s="60" t="n"/>
      <c r="HW37" s="60" t="n"/>
      <c r="HX37" s="60" t="n"/>
      <c r="HY37" s="60" t="n"/>
      <c r="HZ37" s="60" t="n"/>
      <c r="IA37" s="60" t="n"/>
      <c r="IB37" s="4" t="n"/>
      <c r="IC37" s="60" t="n"/>
      <c r="ID37" s="18">
        <f>SUM(HR37:IC37)</f>
        <v/>
      </c>
      <c r="IE37" s="59" t="n"/>
      <c r="IF37" s="60" t="n"/>
      <c r="IG37" s="60" t="n"/>
      <c r="IH37" s="60" t="n"/>
      <c r="II37" s="60" t="n"/>
      <c r="IJ37" s="60" t="n"/>
      <c r="IK37" s="60" t="n"/>
      <c r="IL37" s="60" t="n"/>
      <c r="IM37" s="60" t="n"/>
      <c r="IN37" s="60" t="n"/>
      <c r="IO37" s="60" t="n"/>
      <c r="IP37" s="4" t="n"/>
      <c r="IQ37" s="60" t="n"/>
      <c r="IR37" s="18">
        <f>SUM(IF37:IQ37)</f>
        <v/>
      </c>
      <c r="IS37" s="59" t="n"/>
      <c r="IT37" s="60" t="n"/>
      <c r="IU37" s="60" t="n"/>
      <c r="IV37" s="60" t="n"/>
      <c r="IW37" s="60" t="n"/>
      <c r="IX37" s="60" t="n"/>
      <c r="IY37" s="60" t="n"/>
      <c r="IZ37" s="60" t="n"/>
      <c r="JA37" s="60" t="n"/>
      <c r="JB37" s="60" t="n"/>
      <c r="JC37" s="60" t="n"/>
      <c r="JD37" s="60" t="n"/>
      <c r="JE37" s="60" t="n"/>
      <c r="JF37" s="18">
        <f>SUM(IT37:JE37)</f>
        <v/>
      </c>
      <c r="JG37" s="59" t="n"/>
      <c r="JH37" s="60" t="n"/>
      <c r="JI37" s="60" t="n"/>
      <c r="JJ37" s="60" t="n"/>
      <c r="JK37" s="60" t="n"/>
      <c r="JL37" s="60" t="n"/>
      <c r="JM37" s="60" t="n"/>
      <c r="JN37" s="60" t="n"/>
      <c r="JO37" s="60" t="n"/>
      <c r="JP37" s="60" t="n"/>
      <c r="JQ37" s="60" t="n"/>
      <c r="JR37" s="60" t="n"/>
      <c r="JS37" s="60" t="n"/>
      <c r="JT37" s="18">
        <f>SUM(JH37:JS37)</f>
        <v/>
      </c>
      <c r="JU37" s="59" t="n"/>
      <c r="JV37" s="60" t="n"/>
      <c r="JW37" s="60" t="n"/>
      <c r="JX37" s="60" t="n"/>
      <c r="JY37" s="60" t="n"/>
      <c r="JZ37" s="60" t="n"/>
      <c r="KA37" s="60" t="n"/>
      <c r="KB37" s="60" t="n"/>
      <c r="KC37" s="60" t="n"/>
      <c r="KD37" s="60" t="n"/>
      <c r="KE37" s="60" t="n"/>
      <c r="KF37" s="60" t="n"/>
      <c r="KG37" s="60" t="n"/>
      <c r="KH37" s="18">
        <f>SUM(JV37:KG37)</f>
        <v/>
      </c>
      <c r="KI37" s="59" t="n"/>
      <c r="KJ37" s="60" t="n"/>
      <c r="KK37" s="60" t="n"/>
      <c r="KL37" s="60" t="n"/>
      <c r="KM37" s="60" t="n"/>
      <c r="KN37" s="60" t="n"/>
      <c r="KO37" s="60" t="n"/>
      <c r="KP37" s="60" t="n"/>
      <c r="KQ37" s="60" t="n"/>
      <c r="KR37" s="60" t="n"/>
      <c r="KS37" s="60" t="n"/>
      <c r="KT37" s="60" t="n"/>
      <c r="KU37" s="60" t="n"/>
      <c r="KV37" s="18">
        <f>SUM(KJ37:KU37)</f>
        <v/>
      </c>
      <c r="KW37" s="59" t="n"/>
      <c r="KX37" s="81" t="n"/>
      <c r="KY37" s="76" t="n"/>
    </row>
    <row r="38" ht="14.25" customFormat="1" customHeight="1" s="16">
      <c r="A38" s="12" t="inlineStr">
        <is>
          <t>7.อื่นๆ</t>
        </is>
      </c>
      <c r="B38" s="21" t="n"/>
      <c r="C38" s="21" t="n"/>
      <c r="D38" s="21" t="n"/>
      <c r="E38" s="13" t="n"/>
      <c r="F38" s="21" t="n"/>
      <c r="G38" s="21" t="n"/>
      <c r="H38" s="21" t="n"/>
      <c r="I38" s="13" t="n"/>
      <c r="J38" s="21" t="n"/>
      <c r="K38" s="21" t="n"/>
      <c r="L38" s="21" t="n"/>
      <c r="M38" s="13" t="n"/>
      <c r="N38" s="14">
        <f>SUM(B38:M38)</f>
        <v/>
      </c>
      <c r="O38" s="15">
        <f>N38/N$45%</f>
        <v/>
      </c>
      <c r="P38" s="21" t="n"/>
      <c r="Q38" s="21" t="n"/>
      <c r="R38" s="21" t="n"/>
      <c r="S38" s="13" t="n"/>
      <c r="T38" s="21" t="n"/>
      <c r="U38" s="21" t="n"/>
      <c r="V38" s="21" t="n"/>
      <c r="W38" s="13" t="n"/>
      <c r="X38" s="21" t="n"/>
      <c r="Y38" s="21" t="n"/>
      <c r="Z38" s="21" t="n"/>
      <c r="AA38" s="13" t="n"/>
      <c r="AB38" s="14">
        <f>SUM(P38:AA38)</f>
        <v/>
      </c>
      <c r="AC38" s="15">
        <f>AB38/AB$45%</f>
        <v/>
      </c>
      <c r="AD38" s="21" t="n"/>
      <c r="AE38" s="21" t="n"/>
      <c r="AF38" s="21" t="n"/>
      <c r="AG38" s="13" t="n"/>
      <c r="AH38" s="21" t="n"/>
      <c r="AI38" s="21" t="n"/>
      <c r="AJ38" s="21" t="n"/>
      <c r="AK38" s="13" t="n"/>
      <c r="AL38" s="21" t="n"/>
      <c r="AM38" s="21" t="n"/>
      <c r="AN38" s="21" t="n"/>
      <c r="AO38" s="13" t="n"/>
      <c r="AP38" s="14">
        <f>SUM(AD38:AO38)</f>
        <v/>
      </c>
      <c r="AQ38" s="15">
        <f>AP38/AP$45%</f>
        <v/>
      </c>
      <c r="AR38" s="21" t="n"/>
      <c r="AS38" s="21" t="n"/>
      <c r="AT38" s="21" t="n"/>
      <c r="AU38" s="13" t="n"/>
      <c r="AV38" s="21" t="n"/>
      <c r="AW38" s="21" t="n"/>
      <c r="AX38" s="21" t="n"/>
      <c r="AY38" s="13" t="n"/>
      <c r="AZ38" s="21" t="n"/>
      <c r="BA38" s="21" t="n"/>
      <c r="BB38" s="21" t="n"/>
      <c r="BC38" s="13" t="n"/>
      <c r="BD38" s="14">
        <f>SUM(AR38:BC38)</f>
        <v/>
      </c>
      <c r="BE38" s="15">
        <f>BD38/BD$45%</f>
        <v/>
      </c>
      <c r="BF38" s="21" t="n"/>
      <c r="BG38" s="21" t="n"/>
      <c r="BH38" s="21" t="n"/>
      <c r="BI38" s="13" t="n"/>
      <c r="BJ38" s="21" t="n"/>
      <c r="BK38" s="21" t="n"/>
      <c r="BL38" s="21" t="n"/>
      <c r="BM38" s="13" t="n"/>
      <c r="BN38" s="21" t="n"/>
      <c r="BO38" s="21" t="n"/>
      <c r="BP38" s="21" t="n"/>
      <c r="BQ38" s="13" t="n"/>
      <c r="BR38" s="14">
        <f>SUM(BF38:BQ38)</f>
        <v/>
      </c>
      <c r="BS38" s="15">
        <f>BR38/BR$45%</f>
        <v/>
      </c>
      <c r="BT38" s="21" t="n"/>
      <c r="BU38" s="21" t="n"/>
      <c r="BV38" s="21" t="n"/>
      <c r="BW38" s="13" t="n"/>
      <c r="BX38" s="21" t="n"/>
      <c r="BY38" s="21" t="n"/>
      <c r="BZ38" s="21" t="n"/>
      <c r="CA38" s="13" t="n"/>
      <c r="CB38" s="21" t="n"/>
      <c r="CC38" s="21" t="n"/>
      <c r="CD38" s="21" t="n"/>
      <c r="CE38" s="13" t="n"/>
      <c r="CF38" s="14">
        <f>SUM(BT38:CE38)</f>
        <v/>
      </c>
      <c r="CG38" s="15">
        <f>CF38/CF$45%</f>
        <v/>
      </c>
      <c r="CH38" s="21" t="n"/>
      <c r="CI38" s="21" t="n"/>
      <c r="CJ38" s="21" t="n"/>
      <c r="CK38" s="13" t="n"/>
      <c r="CL38" s="21" t="n"/>
      <c r="CM38" s="21" t="n"/>
      <c r="CN38" s="21" t="n"/>
      <c r="CO38" s="13" t="n"/>
      <c r="CP38" s="21" t="n"/>
      <c r="CQ38" s="21" t="n"/>
      <c r="CR38" s="21" t="n"/>
      <c r="CS38" s="13" t="n"/>
      <c r="CT38" s="14">
        <f>SUM(CH38:CS38)</f>
        <v/>
      </c>
      <c r="CU38" s="15">
        <f>CT38/CT$45%</f>
        <v/>
      </c>
      <c r="CV38" s="21" t="n"/>
      <c r="CW38" s="21" t="n"/>
      <c r="CX38" s="21" t="n"/>
      <c r="CY38" s="13" t="n"/>
      <c r="CZ38" s="21" t="n"/>
      <c r="DA38" s="21" t="n"/>
      <c r="DB38" s="21" t="n"/>
      <c r="DC38" s="13" t="n"/>
      <c r="DD38" s="21" t="n"/>
      <c r="DE38" s="21" t="n"/>
      <c r="DF38" s="21" t="n"/>
      <c r="DG38" s="13" t="n"/>
      <c r="DH38" s="14">
        <f>SUM(CV38:DG38)</f>
        <v/>
      </c>
      <c r="DI38" s="15">
        <f>DH38/DH$45%</f>
        <v/>
      </c>
      <c r="DJ38" s="21" t="n"/>
      <c r="DK38" s="21" t="n"/>
      <c r="DL38" s="21" t="n"/>
      <c r="DM38" s="13" t="n"/>
      <c r="DN38" s="21" t="n"/>
      <c r="DO38" s="21" t="n"/>
      <c r="DP38" s="21" t="n"/>
      <c r="DQ38" s="13" t="n"/>
      <c r="DR38" s="21" t="n"/>
      <c r="DS38" s="21" t="n"/>
      <c r="DT38" s="21" t="n"/>
      <c r="DU38" s="13" t="n"/>
      <c r="DV38" s="14">
        <f>SUM(DJ38:DU38)</f>
        <v/>
      </c>
      <c r="DW38" s="15">
        <f>DV38/DV$45%</f>
        <v/>
      </c>
      <c r="DX38" s="21" t="n"/>
      <c r="DY38" s="21" t="n"/>
      <c r="DZ38" s="21" t="n"/>
      <c r="EA38" s="13" t="n"/>
      <c r="EB38" s="21" t="n"/>
      <c r="EC38" s="21" t="n"/>
      <c r="ED38" s="21" t="n"/>
      <c r="EE38" s="13" t="n"/>
      <c r="EF38" s="21" t="n"/>
      <c r="EG38" s="21" t="n"/>
      <c r="EH38" s="21" t="n"/>
      <c r="EI38" s="13" t="n"/>
      <c r="EJ38" s="14">
        <f>SUM(DX38:EI38)</f>
        <v/>
      </c>
      <c r="EK38" s="15">
        <f>EJ38/EJ$45%</f>
        <v/>
      </c>
      <c r="EL38" s="21" t="n"/>
      <c r="EM38" s="21" t="n"/>
      <c r="EN38" s="21" t="n"/>
      <c r="EO38" s="13" t="n"/>
      <c r="EP38" s="21" t="n"/>
      <c r="EQ38" s="21" t="n"/>
      <c r="ER38" s="21" t="n"/>
      <c r="ES38" s="13" t="n"/>
      <c r="ET38" s="21" t="n"/>
      <c r="EU38" s="21" t="n"/>
      <c r="EV38" s="21" t="n"/>
      <c r="EW38" s="13" t="n"/>
      <c r="EX38" s="14">
        <f>SUM(EL38:EW38)</f>
        <v/>
      </c>
      <c r="EY38" s="15">
        <f>EX38/EX$45%</f>
        <v/>
      </c>
      <c r="EZ38" s="21" t="n"/>
      <c r="FA38" s="21" t="n"/>
      <c r="FB38" s="21" t="n"/>
      <c r="FC38" s="13" t="n"/>
      <c r="FD38" s="21" t="n"/>
      <c r="FE38" s="21" t="n"/>
      <c r="FF38" s="21" t="n"/>
      <c r="FG38" s="13" t="n"/>
      <c r="FH38" s="21" t="n"/>
      <c r="FI38" s="21" t="n"/>
      <c r="FJ38" s="21" t="n"/>
      <c r="FK38" s="13" t="n"/>
      <c r="FL38" s="14">
        <f>SUM(EZ38:FK38)</f>
        <v/>
      </c>
      <c r="FM38" s="15">
        <f>FL38/FL$45%</f>
        <v/>
      </c>
      <c r="FN38" s="21" t="n"/>
      <c r="FO38" s="21" t="n"/>
      <c r="FP38" s="21" t="n"/>
      <c r="FQ38" s="13" t="n"/>
      <c r="FR38" s="21" t="n"/>
      <c r="FS38" s="21" t="n"/>
      <c r="FT38" s="21" t="n"/>
      <c r="FU38" s="13" t="n"/>
      <c r="FV38" s="21" t="n"/>
      <c r="FW38" s="21" t="n"/>
      <c r="FX38" s="21" t="n"/>
      <c r="FY38" s="13" t="n"/>
      <c r="FZ38" s="14">
        <f>SUM(FN38:FY38)</f>
        <v/>
      </c>
      <c r="GA38" s="15">
        <f>FZ38/FZ$45%</f>
        <v/>
      </c>
      <c r="GB38" s="21" t="n"/>
      <c r="GC38" s="21" t="n"/>
      <c r="GD38" s="21" t="n"/>
      <c r="GE38" s="13" t="n"/>
      <c r="GF38" s="21" t="n"/>
      <c r="GG38" s="21" t="n"/>
      <c r="GH38" s="21" t="n"/>
      <c r="GI38" s="13" t="n"/>
      <c r="GJ38" s="21" t="n"/>
      <c r="GK38" s="21" t="n"/>
      <c r="GL38" s="21" t="n"/>
      <c r="GM38" s="13" t="n"/>
      <c r="GN38" s="14">
        <f>SUM(GB38:GM38)</f>
        <v/>
      </c>
      <c r="GO38" s="15">
        <f>GN38/GN$45%</f>
        <v/>
      </c>
      <c r="GP38" s="21" t="n"/>
      <c r="GQ38" s="21" t="n"/>
      <c r="GR38" s="21" t="n"/>
      <c r="GS38" s="13" t="n"/>
      <c r="GT38" s="21" t="n"/>
      <c r="GU38" s="21" t="n"/>
      <c r="GV38" s="21" t="n"/>
      <c r="GW38" s="13" t="n"/>
      <c r="GX38" s="21" t="n"/>
      <c r="GY38" s="21" t="n"/>
      <c r="GZ38" s="21" t="n"/>
      <c r="HA38" s="13" t="n"/>
      <c r="HB38" s="14">
        <f>SUM(GP38:HA38)</f>
        <v/>
      </c>
      <c r="HC38" s="15">
        <f>HB38/HB$45%</f>
        <v/>
      </c>
      <c r="HD38" s="21" t="n"/>
      <c r="HE38" s="21" t="n"/>
      <c r="HF38" s="21" t="n"/>
      <c r="HG38" s="13" t="n"/>
      <c r="HH38" s="21" t="n"/>
      <c r="HI38" s="21" t="n"/>
      <c r="HJ38" s="21" t="n"/>
      <c r="HK38" s="13" t="n"/>
      <c r="HL38" s="21" t="n"/>
      <c r="HM38" s="21" t="n"/>
      <c r="HN38" s="21" t="n"/>
      <c r="HO38" s="13" t="n"/>
      <c r="HP38" s="14">
        <f>SUM(HD38:HO38)</f>
        <v/>
      </c>
      <c r="HQ38" s="15">
        <f>HP38/HP$45%</f>
        <v/>
      </c>
      <c r="HR38" s="21" t="n"/>
      <c r="HS38" s="21" t="n"/>
      <c r="HT38" s="21" t="n"/>
      <c r="HU38" s="13" t="n"/>
      <c r="HV38" s="21" t="n"/>
      <c r="HW38" s="21" t="n"/>
      <c r="HX38" s="21" t="n"/>
      <c r="HY38" s="13" t="n"/>
      <c r="HZ38" s="21" t="n"/>
      <c r="IA38" s="21" t="n"/>
      <c r="IB38" s="21" t="n"/>
      <c r="IC38" s="13" t="n"/>
      <c r="ID38" s="14">
        <f>SUM(HR38:IC38)</f>
        <v/>
      </c>
      <c r="IE38" s="15">
        <f>ID38/ID$45%</f>
        <v/>
      </c>
      <c r="IF38" s="21" t="n"/>
      <c r="IG38" s="21" t="n"/>
      <c r="IH38" s="21" t="n"/>
      <c r="II38" s="13" t="n"/>
      <c r="IJ38" s="21" t="n"/>
      <c r="IK38" s="21" t="n"/>
      <c r="IL38" s="21" t="n"/>
      <c r="IM38" s="13" t="n"/>
      <c r="IN38" s="21" t="n"/>
      <c r="IO38" s="21" t="n"/>
      <c r="IP38" s="21" t="n"/>
      <c r="IQ38" s="13" t="n"/>
      <c r="IR38" s="14">
        <f>SUM(IF38:IQ38)</f>
        <v/>
      </c>
      <c r="IS38" s="15">
        <f>IR38/IR$45%</f>
        <v/>
      </c>
      <c r="IT38" s="21" t="n"/>
      <c r="IU38" s="21" t="n"/>
      <c r="IV38" s="21" t="n"/>
      <c r="IW38" s="13" t="n"/>
      <c r="IX38" s="21" t="n"/>
      <c r="IY38" s="21" t="n"/>
      <c r="IZ38" s="21" t="n"/>
      <c r="JA38" s="13" t="n"/>
      <c r="JB38" s="21" t="n"/>
      <c r="JC38" s="21" t="n"/>
      <c r="JD38" s="21" t="n"/>
      <c r="JE38" s="13" t="n"/>
      <c r="JF38" s="14">
        <f>SUM(IT38:JE38)</f>
        <v/>
      </c>
      <c r="JG38" s="15">
        <f>JF38/JF$45%</f>
        <v/>
      </c>
      <c r="JH38" s="21" t="n"/>
      <c r="JI38" s="21" t="n"/>
      <c r="JJ38" s="21" t="n"/>
      <c r="JK38" s="13" t="n"/>
      <c r="JL38" s="21" t="n"/>
      <c r="JM38" s="21" t="n"/>
      <c r="JN38" s="21" t="n"/>
      <c r="JO38" s="13" t="n"/>
      <c r="JP38" s="21" t="n"/>
      <c r="JQ38" s="21" t="n"/>
      <c r="JR38" s="21" t="n"/>
      <c r="JS38" s="13" t="n"/>
      <c r="JT38" s="14">
        <f>SUM(JH38:JS38)</f>
        <v/>
      </c>
      <c r="JU38" s="15">
        <f>JT38/JT$45%</f>
        <v/>
      </c>
      <c r="JV38" s="21" t="n"/>
      <c r="JW38" s="21" t="n"/>
      <c r="JX38" s="21" t="n"/>
      <c r="JY38" s="13" t="n"/>
      <c r="JZ38" s="21" t="n"/>
      <c r="KA38" s="21" t="n"/>
      <c r="KB38" s="21" t="n"/>
      <c r="KC38" s="13" t="n"/>
      <c r="KD38" s="21" t="n"/>
      <c r="KE38" s="21" t="n"/>
      <c r="KF38" s="21" t="n"/>
      <c r="KG38" s="13" t="n"/>
      <c r="KH38" s="14">
        <f>SUM(JV38:KG38)</f>
        <v/>
      </c>
      <c r="KI38" s="15">
        <f>KH38/KH$45%</f>
        <v/>
      </c>
      <c r="KJ38" s="21" t="n"/>
      <c r="KK38" s="21" t="n"/>
      <c r="KL38" s="21" t="n"/>
      <c r="KM38" s="13" t="n"/>
      <c r="KN38" s="21" t="n"/>
      <c r="KO38" s="21" t="n"/>
      <c r="KP38" s="21" t="n"/>
      <c r="KQ38" s="13" t="n"/>
      <c r="KR38" s="21" t="n"/>
      <c r="KS38" s="21" t="n"/>
      <c r="KT38" s="21" t="n"/>
      <c r="KU38" s="13" t="n"/>
      <c r="KV38" s="14">
        <f>SUM(KJ38:KU38)</f>
        <v/>
      </c>
      <c r="KW38" s="15">
        <f>KV38/KV$45%</f>
        <v/>
      </c>
      <c r="KX38" s="78">
        <f>N38+AB38+AP38+BD38+BR38+CF38+CT38+DH38+DV38+EJ38+EX38+FZ38+GN38+HB38+HP38+ID38+IR38+JF38+KH38+KV38+JT38</f>
        <v/>
      </c>
      <c r="KY38" s="78">
        <f>KX38/KX$45%</f>
        <v/>
      </c>
    </row>
    <row r="39" ht="14.25" customFormat="1" customHeight="1" s="10">
      <c r="A39" s="17" t="inlineStr">
        <is>
          <t>7.1 อายุสินค้าไม่ได้ตามความต้องการของลูกค้า (sensory/micro)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18">
        <f>SUM(B39:M39)</f>
        <v/>
      </c>
      <c r="O39" s="18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18">
        <f>SUM(P39:AA39)</f>
        <v/>
      </c>
      <c r="AC39" s="18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18">
        <f>SUM(AD39:AO39)</f>
        <v/>
      </c>
      <c r="AQ39" s="18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18">
        <f>SUM(AR39:BC39)</f>
        <v/>
      </c>
      <c r="BE39" s="18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18">
        <f>SUM(BF39:BQ39)</f>
        <v/>
      </c>
      <c r="BS39" s="18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18">
        <f>SUM(BT39:CE39)</f>
        <v/>
      </c>
      <c r="CG39" s="18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18">
        <f>SUM(CH39:CS39)</f>
        <v/>
      </c>
      <c r="CU39" s="18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18">
        <f>SUM(CV39:DG39)</f>
        <v/>
      </c>
      <c r="DI39" s="18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18">
        <f>SUM(DJ39:DU39)</f>
        <v/>
      </c>
      <c r="DW39" s="18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18">
        <f>SUM(DX39:EI39)</f>
        <v/>
      </c>
      <c r="EK39" s="18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18">
        <f>SUM(EL39:EW39)</f>
        <v/>
      </c>
      <c r="EY39" s="18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18">
        <f>SUM(EZ39:FK39)</f>
        <v/>
      </c>
      <c r="FM39" s="18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18">
        <f>SUM(FN39:FY39)</f>
        <v/>
      </c>
      <c r="GA39" s="18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18">
        <f>SUM(GB39:GM39)</f>
        <v/>
      </c>
      <c r="GO39" s="18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18">
        <f>SUM(GP39:HA39)</f>
        <v/>
      </c>
      <c r="HC39" s="18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18">
        <f>SUM(HD39:HO39)</f>
        <v/>
      </c>
      <c r="HQ39" s="18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18">
        <f>SUM(HR39:IC39)</f>
        <v/>
      </c>
      <c r="IE39" s="18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18">
        <f>SUM(IF39:IQ39)</f>
        <v/>
      </c>
      <c r="IS39" s="18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18">
        <f>SUM(IT39:JE39)</f>
        <v/>
      </c>
      <c r="JG39" s="18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18">
        <f>SUM(JH39:JS39)</f>
        <v/>
      </c>
      <c r="JU39" s="18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18">
        <f>SUM(JV39:KG39)</f>
        <v/>
      </c>
      <c r="KI39" s="18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18">
        <f>SUM(KJ39:KU39)</f>
        <v/>
      </c>
      <c r="KW39" s="18" t="n"/>
      <c r="KX39" s="783" t="n"/>
      <c r="KY39" s="76" t="n"/>
    </row>
    <row r="40" ht="14.25" customFormat="1" customHeight="1" s="10">
      <c r="A40" s="17" t="inlineStr">
        <is>
          <t>7.2 Hold เพราะสถานการณ์ Covid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18">
        <f>SUM(B40:M40)</f>
        <v/>
      </c>
      <c r="O40" s="18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18">
        <f>SUM(P40:AA40)</f>
        <v/>
      </c>
      <c r="AC40" s="18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18">
        <f>SUM(AD40:AO40)</f>
        <v/>
      </c>
      <c r="AQ40" s="18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18">
        <f>SUM(AR40:BC40)</f>
        <v/>
      </c>
      <c r="BE40" s="18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18">
        <f>SUM(BF40:BQ40)</f>
        <v/>
      </c>
      <c r="BS40" s="18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18">
        <f>SUM(BT40:CE40)</f>
        <v/>
      </c>
      <c r="CG40" s="18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18">
        <f>SUM(CH40:CS40)</f>
        <v/>
      </c>
      <c r="CU40" s="18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18">
        <f>SUM(CV40:DG40)</f>
        <v/>
      </c>
      <c r="DI40" s="18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18">
        <f>SUM(DJ40:DU40)</f>
        <v/>
      </c>
      <c r="DW40" s="18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18">
        <f>SUM(DX40:EI40)</f>
        <v/>
      </c>
      <c r="EK40" s="18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18">
        <f>SUM(EL40:EW40)</f>
        <v/>
      </c>
      <c r="EY40" s="18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18">
        <f>SUM(EZ40:FK40)</f>
        <v/>
      </c>
      <c r="FM40" s="18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18">
        <f>SUM(FN40:FY40)</f>
        <v/>
      </c>
      <c r="GA40" s="18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18">
        <f>SUM(GB40:GM40)</f>
        <v/>
      </c>
      <c r="GO40" s="18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18">
        <f>SUM(GP40:HA40)</f>
        <v/>
      </c>
      <c r="HC40" s="18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18">
        <f>SUM(HD40:HO40)</f>
        <v/>
      </c>
      <c r="HQ40" s="18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18">
        <f>SUM(HR40:IC40)</f>
        <v/>
      </c>
      <c r="IE40" s="18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18">
        <f>SUM(IF40:IQ40)</f>
        <v/>
      </c>
      <c r="IS40" s="18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18">
        <f>SUM(IT40:JE40)</f>
        <v/>
      </c>
      <c r="JG40" s="18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18">
        <f>SUM(JH40:JS40)</f>
        <v/>
      </c>
      <c r="JU40" s="18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18">
        <f>SUM(JV40:KG40)</f>
        <v/>
      </c>
      <c r="KI40" s="18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18">
        <f>SUM(KJ40:KU40)</f>
        <v/>
      </c>
      <c r="KW40" s="18" t="n"/>
      <c r="KX40" s="783" t="n"/>
      <c r="KY40" s="76" t="n"/>
    </row>
    <row r="41" ht="14.25" customFormat="1" customHeight="1" s="10">
      <c r="A41" s="17" t="inlineStr">
        <is>
          <t>7.3 สินค้าเพื่อจัดแสดงสินค้างาน Event ต่างๆ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18">
        <f>SUM(B41:M41)</f>
        <v/>
      </c>
      <c r="O41" s="18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18">
        <f>SUM(P41:AA41)</f>
        <v/>
      </c>
      <c r="AC41" s="18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18">
        <f>SUM(AD41:AO41)</f>
        <v/>
      </c>
      <c r="AQ41" s="18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18">
        <f>SUM(AR41:BC41)</f>
        <v/>
      </c>
      <c r="BE41" s="18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18">
        <f>SUM(BF41:BQ41)</f>
        <v/>
      </c>
      <c r="BS41" s="18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18">
        <f>SUM(BT41:CE41)</f>
        <v/>
      </c>
      <c r="CG41" s="18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18">
        <f>SUM(CH41:CS41)</f>
        <v/>
      </c>
      <c r="CU41" s="18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18">
        <f>SUM(CV41:DG41)</f>
        <v/>
      </c>
      <c r="DI41" s="18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18">
        <f>SUM(DJ41:DU41)</f>
        <v/>
      </c>
      <c r="DW41" s="18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18">
        <f>SUM(DX41:EI41)</f>
        <v/>
      </c>
      <c r="EK41" s="18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18">
        <f>SUM(EL41:EW41)</f>
        <v/>
      </c>
      <c r="EY41" s="18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18">
        <f>SUM(EZ41:FK41)</f>
        <v/>
      </c>
      <c r="FM41" s="18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18">
        <f>SUM(FN41:FY41)</f>
        <v/>
      </c>
      <c r="GA41" s="18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18">
        <f>SUM(GB41:GM41)</f>
        <v/>
      </c>
      <c r="GO41" s="18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18">
        <f>SUM(GP41:HA41)</f>
        <v/>
      </c>
      <c r="HC41" s="18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18">
        <f>SUM(HD41:HO41)</f>
        <v/>
      </c>
      <c r="HQ41" s="18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18">
        <f>SUM(HR41:IC41)</f>
        <v/>
      </c>
      <c r="IE41" s="18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18">
        <f>SUM(IF41:IQ41)</f>
        <v/>
      </c>
      <c r="IS41" s="18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18">
        <f>SUM(IT41:JE41)</f>
        <v/>
      </c>
      <c r="JG41" s="18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18">
        <f>SUM(JH41:JS41)</f>
        <v/>
      </c>
      <c r="JU41" s="18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18">
        <f>SUM(JV41:KG41)</f>
        <v/>
      </c>
      <c r="KI41" s="18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18">
        <f>SUM(KJ41:KU41)</f>
        <v/>
      </c>
      <c r="KW41" s="18" t="n"/>
      <c r="KX41" s="783" t="n"/>
      <c r="KY41" s="76" t="n"/>
    </row>
    <row r="42" ht="14.25" customFormat="1" customHeight="1" s="10">
      <c r="A42" s="22" t="inlineStr">
        <is>
          <t>7.4 ทำส่งซีพีแรมลาดกะบัง ไปประกอบเป็น FG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18">
        <f>SUM(B42:M42)</f>
        <v/>
      </c>
      <c r="O42" s="18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18">
        <f>SUM(P42:AA42)</f>
        <v/>
      </c>
      <c r="AC42" s="18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18">
        <f>SUM(AD42:AO42)</f>
        <v/>
      </c>
      <c r="AQ42" s="18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18">
        <f>SUM(AR42:BC42)</f>
        <v/>
      </c>
      <c r="BE42" s="18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18">
        <f>SUM(BF42:BQ42)</f>
        <v/>
      </c>
      <c r="BS42" s="18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18">
        <f>SUM(BT42:CE42)</f>
        <v/>
      </c>
      <c r="CG42" s="18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18">
        <f>SUM(CH42:CS42)</f>
        <v/>
      </c>
      <c r="CU42" s="18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18">
        <f>SUM(CV42:DG42)</f>
        <v/>
      </c>
      <c r="DI42" s="18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18">
        <f>SUM(DJ42:DU42)</f>
        <v/>
      </c>
      <c r="DW42" s="18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18">
        <f>SUM(DX42:EI42)</f>
        <v/>
      </c>
      <c r="EK42" s="18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18">
        <f>SUM(EL42:EW42)</f>
        <v/>
      </c>
      <c r="EY42" s="18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18">
        <f>SUM(EZ42:FK42)</f>
        <v/>
      </c>
      <c r="FM42" s="18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18">
        <f>SUM(FN42:FY42)</f>
        <v/>
      </c>
      <c r="GA42" s="18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18">
        <f>SUM(GB42:GM42)</f>
        <v/>
      </c>
      <c r="GO42" s="18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18">
        <f>SUM(GP42:HA42)</f>
        <v/>
      </c>
      <c r="HC42" s="18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18">
        <f>SUM(HD42:HO42)</f>
        <v/>
      </c>
      <c r="HQ42" s="18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18">
        <f>SUM(HR42:IC42)</f>
        <v/>
      </c>
      <c r="IE42" s="18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18">
        <f>SUM(IF42:IQ42)</f>
        <v/>
      </c>
      <c r="IS42" s="18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18">
        <f>SUM(IT42:JE42)</f>
        <v/>
      </c>
      <c r="JG42" s="18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18">
        <f>SUM(JH42:JS42)</f>
        <v/>
      </c>
      <c r="JU42" s="18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18">
        <f>SUM(JV42:KG42)</f>
        <v/>
      </c>
      <c r="KI42" s="18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18">
        <f>SUM(KJ42:KU42)</f>
        <v/>
      </c>
      <c r="KW42" s="18" t="n"/>
      <c r="KX42" s="783" t="n"/>
      <c r="KY42" s="76" t="n"/>
    </row>
    <row r="43" ht="14.25" customFormat="1" customHeight="1" s="10">
      <c r="A43" s="22" t="inlineStr">
        <is>
          <t>7.5 ย้ายการผลิตไปลาดกะบัง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18">
        <f>SUM(B43:M43)</f>
        <v/>
      </c>
      <c r="O43" s="18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18">
        <f>SUM(P43:AA43)</f>
        <v/>
      </c>
      <c r="AC43" s="18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18">
        <f>SUM(AD43:AO43)</f>
        <v/>
      </c>
      <c r="AQ43" s="18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18">
        <f>SUM(AR43:BC43)</f>
        <v/>
      </c>
      <c r="BE43" s="18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18">
        <f>SUM(BF43:BQ43)</f>
        <v/>
      </c>
      <c r="BS43" s="18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18">
        <f>SUM(BT43:CE43)</f>
        <v/>
      </c>
      <c r="CG43" s="18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18">
        <f>SUM(CH43:CS43)</f>
        <v/>
      </c>
      <c r="CU43" s="18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18">
        <f>SUM(CV43:DG43)</f>
        <v/>
      </c>
      <c r="DI43" s="18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18">
        <f>SUM(DJ43:DU43)</f>
        <v/>
      </c>
      <c r="DW43" s="18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18">
        <f>SUM(DX43:EI43)</f>
        <v/>
      </c>
      <c r="EK43" s="18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18">
        <f>SUM(EL43:EW43)</f>
        <v/>
      </c>
      <c r="EY43" s="18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18">
        <f>SUM(EZ43:FK43)</f>
        <v/>
      </c>
      <c r="FM43" s="18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18">
        <f>SUM(FN43:FY43)</f>
        <v/>
      </c>
      <c r="GA43" s="18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18">
        <f>SUM(GB43:GM43)</f>
        <v/>
      </c>
      <c r="GO43" s="18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18">
        <f>SUM(GP43:HA43)</f>
        <v/>
      </c>
      <c r="HC43" s="18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18">
        <f>SUM(HD43:HO43)</f>
        <v/>
      </c>
      <c r="HQ43" s="18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18">
        <f>SUM(HR43:IC43)</f>
        <v/>
      </c>
      <c r="IE43" s="18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18">
        <f>SUM(IF43:IQ43)</f>
        <v/>
      </c>
      <c r="IS43" s="18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18">
        <f>SUM(IT43:JE43)</f>
        <v/>
      </c>
      <c r="JG43" s="18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18">
        <f>SUM(JH43:JS43)</f>
        <v/>
      </c>
      <c r="JU43" s="18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18">
        <f>SUM(JV43:KG43)</f>
        <v/>
      </c>
      <c r="KI43" s="18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18">
        <f>SUM(KJ43:KU43)</f>
        <v/>
      </c>
      <c r="KW43" s="18" t="n"/>
      <c r="KX43" s="783" t="n"/>
      <c r="KY43" s="76" t="n"/>
    </row>
    <row r="44" ht="14.25" customFormat="1" customHeight="1" s="10">
      <c r="A44" s="22" t="inlineStr">
        <is>
          <t>7.6 ทางเมอร์มีเปลี่ยนโครงสร้างใหม่ จึงมีการปรับแผนสินค้าใหม่ด้วย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18">
        <f>SUM(B44:M44)</f>
        <v/>
      </c>
      <c r="O44" s="18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18">
        <f>SUM(P44:AA44)</f>
        <v/>
      </c>
      <c r="AC44" s="18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18">
        <f>SUM(AD44:AO44)</f>
        <v/>
      </c>
      <c r="AQ44" s="18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18">
        <f>SUM(AR44:BC44)</f>
        <v/>
      </c>
      <c r="BE44" s="18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18">
        <f>SUM(BF44:BQ44)</f>
        <v/>
      </c>
      <c r="BS44" s="18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18">
        <f>SUM(BT44:CE44)</f>
        <v/>
      </c>
      <c r="CG44" s="18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18">
        <f>SUM(CH44:CS44)</f>
        <v/>
      </c>
      <c r="CU44" s="18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18">
        <f>SUM(CV44:DG44)</f>
        <v/>
      </c>
      <c r="DI44" s="18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18">
        <f>SUM(DJ44:DU44)</f>
        <v/>
      </c>
      <c r="DW44" s="18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18">
        <f>SUM(DX44:EI44)</f>
        <v/>
      </c>
      <c r="EK44" s="18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18">
        <f>SUM(EL44:EW44)</f>
        <v/>
      </c>
      <c r="EY44" s="18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18">
        <f>SUM(EZ44:FK44)</f>
        <v/>
      </c>
      <c r="FM44" s="18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18">
        <f>SUM(FN44:FY44)</f>
        <v/>
      </c>
      <c r="GA44" s="18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18">
        <f>SUM(GB44:GM44)</f>
        <v/>
      </c>
      <c r="GO44" s="18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18">
        <f>SUM(GP44:HA44)</f>
        <v/>
      </c>
      <c r="HC44" s="18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18">
        <f>SUM(HD44:HO44)</f>
        <v/>
      </c>
      <c r="HQ44" s="18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18">
        <f>SUM(HR44:IC44)</f>
        <v/>
      </c>
      <c r="IE44" s="18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18">
        <f>SUM(IF44:IQ44)</f>
        <v/>
      </c>
      <c r="IS44" s="18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18">
        <f>SUM(IT44:JE44)</f>
        <v/>
      </c>
      <c r="JG44" s="18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18">
        <f>SUM(JH44:JS44)</f>
        <v/>
      </c>
      <c r="JU44" s="18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18">
        <f>SUM(JV44:KG44)</f>
        <v/>
      </c>
      <c r="KI44" s="18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18">
        <f>SUM(KJ44:KU44)</f>
        <v/>
      </c>
      <c r="KW44" s="18" t="n"/>
      <c r="KX44" s="783" t="n"/>
      <c r="KY44" s="76" t="n"/>
    </row>
    <row r="45" ht="14.25" customFormat="1" customHeight="1" s="10">
      <c r="A45" s="23" t="inlineStr">
        <is>
          <t>Total</t>
        </is>
      </c>
      <c r="B45" s="24">
        <f>B3+B10+B15+B16+B23+B32+B38</f>
        <v/>
      </c>
      <c r="C45" s="24">
        <f>C3+C10+C15+C16+C23+C32+C38</f>
        <v/>
      </c>
      <c r="D45" s="24">
        <f>D3+D10+D15+D16+D23+D32+D38</f>
        <v/>
      </c>
      <c r="E45" s="24">
        <f>E3+E10+E15+E16+E23+E32+E38</f>
        <v/>
      </c>
      <c r="F45" s="24">
        <f>F3+F10+F15+F16+F23+F32+F38</f>
        <v/>
      </c>
      <c r="G45" s="24">
        <f>G3+G10+G15+G16+G23+G32+G38</f>
        <v/>
      </c>
      <c r="H45" s="24">
        <f>H3+H10+H15+H16+H23+H32+H38</f>
        <v/>
      </c>
      <c r="I45" s="24">
        <f>I3+I10+I15+I16+I23+I32+I38</f>
        <v/>
      </c>
      <c r="J45" s="24">
        <f>J3+J10+J15+J16+J23+J32+J38</f>
        <v/>
      </c>
      <c r="K45" s="24">
        <f>K3+K10+K15+K16+K23+K32+K38</f>
        <v/>
      </c>
      <c r="L45" s="24">
        <f>L3+L10+L15+L16+L23+L32+L38</f>
        <v/>
      </c>
      <c r="M45" s="24">
        <f>M3+M10+M15+M16+M23+M32+M38</f>
        <v/>
      </c>
      <c r="N45" s="25">
        <f>N3+N10+N15+N16+N23+N32+N38</f>
        <v/>
      </c>
      <c r="O45" s="26">
        <f>O3+O10+O15+O16+O23+O32+O38</f>
        <v/>
      </c>
      <c r="P45" s="24">
        <f>P3+P10+P15+P16+P23+P32+P38</f>
        <v/>
      </c>
      <c r="Q45" s="24">
        <f>Q3+Q10+Q15+Q16+Q23+Q32+Q38</f>
        <v/>
      </c>
      <c r="R45" s="24">
        <f>R3+R10+R15+R16+R23+R32+R38</f>
        <v/>
      </c>
      <c r="S45" s="24">
        <f>S3+S10+S15+S16+S23+S32+S38</f>
        <v/>
      </c>
      <c r="T45" s="24">
        <f>T3+T10+T15+T16+T23+T32+T38</f>
        <v/>
      </c>
      <c r="U45" s="24">
        <f>U3+U10+U15+U16+U23+U32+U38</f>
        <v/>
      </c>
      <c r="V45" s="24">
        <f>V3+V10+V15+V16+V23+V32+V38</f>
        <v/>
      </c>
      <c r="W45" s="24">
        <f>W3+W10+W15+W16+W23+W32+W38</f>
        <v/>
      </c>
      <c r="X45" s="24">
        <f>X3+X10+X15+X16+X23+X32+X38</f>
        <v/>
      </c>
      <c r="Y45" s="24">
        <f>Y3+Y10+Y15+Y16+Y23+Y32+Y38</f>
        <v/>
      </c>
      <c r="Z45" s="24">
        <f>Z3+Z10+Z15+Z16+Z23+Z32+Z38</f>
        <v/>
      </c>
      <c r="AA45" s="24">
        <f>AA3+AA10+AA15+AA16+AA23+AA32+AA38</f>
        <v/>
      </c>
      <c r="AB45" s="25">
        <f>AB3+AB10+AB15+AB16+AB23+AB32+AB38</f>
        <v/>
      </c>
      <c r="AC45" s="26">
        <f>AC3+AC10+AC15+AC16+AC23+AC32+AC38</f>
        <v/>
      </c>
      <c r="AD45" s="24">
        <f>AD3+AD10+AD15+AD16+AD23+AD32+AD38</f>
        <v/>
      </c>
      <c r="AE45" s="24">
        <f>AE3+AE10+AE15+AE16+AE23+AE32+AE38</f>
        <v/>
      </c>
      <c r="AF45" s="24">
        <f>AF3+AF10+AF15+AF16+AF23+AF32+AF38</f>
        <v/>
      </c>
      <c r="AG45" s="24">
        <f>AG3+AG10+AG15+AG16+AG23+AG32+AG38</f>
        <v/>
      </c>
      <c r="AH45" s="24">
        <f>AH3+AH10+AH15+AH16+AH23+AH32+AH38</f>
        <v/>
      </c>
      <c r="AI45" s="24">
        <f>AI3+AI10+AI15+AI16+AI23+AI32+AI38</f>
        <v/>
      </c>
      <c r="AJ45" s="24">
        <f>AJ3+AJ10+AJ15+AJ16+AJ23+AJ32+AJ38</f>
        <v/>
      </c>
      <c r="AK45" s="24">
        <f>AK3+AK10+AK15+AK16+AK23+AK32+AK38</f>
        <v/>
      </c>
      <c r="AL45" s="24">
        <f>AL3+AL10+AL15+AL16+AL23+AL32+AL38</f>
        <v/>
      </c>
      <c r="AM45" s="24">
        <f>AM3+AM10+AM15+AM16+AM23+AM32+AM38</f>
        <v/>
      </c>
      <c r="AN45" s="24">
        <f>AN3+AN10+AN15+AN16+AN23+AN32+AN38</f>
        <v/>
      </c>
      <c r="AO45" s="24">
        <f>AO3+AO10+AO15+AO16+AO23+AO32+AO38</f>
        <v/>
      </c>
      <c r="AP45" s="25">
        <f>AP3+AP10+AP15+AP16+AP23+AP32+AP38</f>
        <v/>
      </c>
      <c r="AQ45" s="26">
        <f>AQ3+AQ10+AQ15+AQ16+AQ23+AQ32+AQ38</f>
        <v/>
      </c>
      <c r="AR45" s="24">
        <f>AR3+AR10+AR15+AR16+AR23+AR32+AR38</f>
        <v/>
      </c>
      <c r="AS45" s="24">
        <f>AS3+AS10+AS15+AS16+AS23+AS32+AS38</f>
        <v/>
      </c>
      <c r="AT45" s="24">
        <f>AT3+AT10+AT15+AT16+AT23+AT32+AT38</f>
        <v/>
      </c>
      <c r="AU45" s="24">
        <f>AU3+AU10+AU15+AU16+AU23+AU32+AU38</f>
        <v/>
      </c>
      <c r="AV45" s="24">
        <f>AV3+AV10+AV15+AV16+AV23+AV32+AV38</f>
        <v/>
      </c>
      <c r="AW45" s="24">
        <f>AW3+AW10+AW15+AW16+AW23+AW32+AW38</f>
        <v/>
      </c>
      <c r="AX45" s="24">
        <f>AX3+AX10+AX15+AX16+AX23+AX32+AX38</f>
        <v/>
      </c>
      <c r="AY45" s="24">
        <f>AY3+AY10+AY15+AY16+AY23+AY32+AY38</f>
        <v/>
      </c>
      <c r="AZ45" s="24">
        <f>AZ3+AZ10+AZ15+AZ16+AZ23+AZ32+AZ38</f>
        <v/>
      </c>
      <c r="BA45" s="24">
        <f>BA3+BA10+BA15+BA16+BA23+BA32+BA38</f>
        <v/>
      </c>
      <c r="BB45" s="24">
        <f>BB3+BB10+BB15+BB16+BB23+BB32+BB38</f>
        <v/>
      </c>
      <c r="BC45" s="24">
        <f>BC3+BC10+BC15+BC16+BC23+BC32+BC38</f>
        <v/>
      </c>
      <c r="BD45" s="25">
        <f>BD3+BD10+BD15+BD16+BD23+BD32+BD38</f>
        <v/>
      </c>
      <c r="BE45" s="26">
        <f>BE3+BE10+BE15+BE16+BE23+BE32+BE38</f>
        <v/>
      </c>
      <c r="BF45" s="24">
        <f>BF3+BF10+BF15+BF16+BF23+BF32+BF38</f>
        <v/>
      </c>
      <c r="BG45" s="24">
        <f>BG3+BG10+BG15+BG16+BG23+BG32+BG38</f>
        <v/>
      </c>
      <c r="BH45" s="24">
        <f>BH3+BH10+BH15+BH16+BH23+BH32+BH38</f>
        <v/>
      </c>
      <c r="BI45" s="24">
        <f>BI3+BI10+BI15+BI16+BI23+BI32+BI38</f>
        <v/>
      </c>
      <c r="BJ45" s="24">
        <f>BJ3+BJ10+BJ15+BJ16+BJ23+BJ32+BJ38</f>
        <v/>
      </c>
      <c r="BK45" s="24">
        <f>BK3+BK10+BK15+BK16+BK23+BK32+BK38</f>
        <v/>
      </c>
      <c r="BL45" s="24">
        <f>BL3+BL10+BL15+BL16+BL23+BL32+BL38</f>
        <v/>
      </c>
      <c r="BM45" s="24">
        <f>BM3+BM10+BM15+BM16+BM23+BM32+BM38</f>
        <v/>
      </c>
      <c r="BN45" s="24">
        <f>BN3+BN10+BN15+BN16+BN23+BN32+BN38</f>
        <v/>
      </c>
      <c r="BO45" s="24">
        <f>BO3+BO10+BO15+BO16+BO23+BO32+BO38</f>
        <v/>
      </c>
      <c r="BP45" s="24">
        <f>BP3+BP10+BP15+BP16+BP23+BP32+BP38</f>
        <v/>
      </c>
      <c r="BQ45" s="24">
        <f>BQ3+BQ10+BQ15+BQ16+BQ23+BQ32+BQ38</f>
        <v/>
      </c>
      <c r="BR45" s="25">
        <f>BR3+BR10+BR15+BR16+BR23+BR32+BR38</f>
        <v/>
      </c>
      <c r="BS45" s="26">
        <f>BS3+BS10+BS15+BS16+BS23+BS32+BS38</f>
        <v/>
      </c>
      <c r="BT45" s="24">
        <f>BT3+BT10+BT15+BT16+BT23+BT32+BT38</f>
        <v/>
      </c>
      <c r="BU45" s="24">
        <f>BU3+BU10+BU15+BU16+BU23+BU32+BU38</f>
        <v/>
      </c>
      <c r="BV45" s="24">
        <f>BV3+BV10+BV15+BV16+BV23+BV32+BV38</f>
        <v/>
      </c>
      <c r="BW45" s="24">
        <f>BW3+BW10+BW15+BW16+BW23+BW32+BW38</f>
        <v/>
      </c>
      <c r="BX45" s="24">
        <f>BX3+BX10+BX15+BX16+BX23+BX32+BX38</f>
        <v/>
      </c>
      <c r="BY45" s="24">
        <f>BY3+BY10+BY15+BY16+BY23+BY32+BY38</f>
        <v/>
      </c>
      <c r="BZ45" s="24">
        <f>BZ3+BZ10+BZ15+BZ16+BZ23+BZ32+BZ38</f>
        <v/>
      </c>
      <c r="CA45" s="24">
        <f>CA3+CA10+CA15+CA16+CA23+CA32+CA38</f>
        <v/>
      </c>
      <c r="CB45" s="24">
        <f>CB3+CB10+CB15+CB16+CB23+CB32+CB38</f>
        <v/>
      </c>
      <c r="CC45" s="24">
        <f>CC3+CC10+CC15+CC16+CC23+CC32+CC38</f>
        <v/>
      </c>
      <c r="CD45" s="24">
        <f>CD3+CD10+CD15+CD16+CD23+CD32+CD38</f>
        <v/>
      </c>
      <c r="CE45" s="24">
        <f>CE3+CE10+CE15+CE16+CE23+CE32+CE38</f>
        <v/>
      </c>
      <c r="CF45" s="25">
        <f>CF3+CF10+CF15+CF16+CF23+CF32+CF38</f>
        <v/>
      </c>
      <c r="CG45" s="26">
        <f>CG3+CG10+CG15+CG16+CG23+CG32+CG38</f>
        <v/>
      </c>
      <c r="CH45" s="24">
        <f>CH3+CH10+CH15+CH16+CH23+CH32+CH38</f>
        <v/>
      </c>
      <c r="CI45" s="24">
        <f>CI3+CI10+CI15+CI16+CI23+CI32+CI38</f>
        <v/>
      </c>
      <c r="CJ45" s="24">
        <f>CJ3+CJ10+CJ15+CJ16+CJ23+CJ32+CJ38</f>
        <v/>
      </c>
      <c r="CK45" s="24">
        <f>CK3+CK10+CK15+CK16+CK23+CK32+CK38</f>
        <v/>
      </c>
      <c r="CL45" s="24">
        <f>CL3+CL10+CL15+CL16+CL23+CL32+CL38</f>
        <v/>
      </c>
      <c r="CM45" s="24">
        <f>CM3+CM10+CM15+CM16+CM23+CM32+CM38</f>
        <v/>
      </c>
      <c r="CN45" s="24">
        <f>CN3+CN10+CN15+CN16+CN23+CN32+CN38</f>
        <v/>
      </c>
      <c r="CO45" s="24">
        <f>CO3+CO10+CO15+CO16+CO23+CO32+CO38</f>
        <v/>
      </c>
      <c r="CP45" s="24">
        <f>CP3+CP10+CP15+CP16+CP23+CP32+CP38</f>
        <v/>
      </c>
      <c r="CQ45" s="24">
        <f>CQ3+CQ10+CQ15+CQ16+CQ23+CQ32+CQ38</f>
        <v/>
      </c>
      <c r="CR45" s="24">
        <f>CR3+CR10+CR15+CR16+CR23+CR32+CR38</f>
        <v/>
      </c>
      <c r="CS45" s="24">
        <f>CS3+CS10+CS15+CS16+CS23+CS32+CS38</f>
        <v/>
      </c>
      <c r="CT45" s="25">
        <f>CT3+CT10+CT15+CT16+CT23+CT32+CT38</f>
        <v/>
      </c>
      <c r="CU45" s="26">
        <f>CU3+CU10+CU15+CU16+CU23+CU32+CU38</f>
        <v/>
      </c>
      <c r="CV45" s="24">
        <f>CV3+CV10+CV15+CV16+CV23+CV32+CV38</f>
        <v/>
      </c>
      <c r="CW45" s="24">
        <f>CW3+CW10+CW15+CW16+CW23+CW32+CW38</f>
        <v/>
      </c>
      <c r="CX45" s="24">
        <f>CX3+CX10+CX15+CX16+CX23+CX32+CX38</f>
        <v/>
      </c>
      <c r="CY45" s="24">
        <f>CY3+CY10+CY15+CY16+CY23+CY32+CY38</f>
        <v/>
      </c>
      <c r="CZ45" s="24">
        <f>CZ3+CZ10+CZ15+CZ16+CZ23+CZ32+CZ38</f>
        <v/>
      </c>
      <c r="DA45" s="24">
        <f>DA3+DA10+DA15+DA16+DA23+DA32+DA38</f>
        <v/>
      </c>
      <c r="DB45" s="24">
        <f>DB3+DB10+DB15+DB16+DB23+DB32+DB38</f>
        <v/>
      </c>
      <c r="DC45" s="24">
        <f>DC3+DC10+DC15+DC16+DC23+DC32+DC38</f>
        <v/>
      </c>
      <c r="DD45" s="24">
        <f>DD3+DD10+DD15+DD16+DD23+DD32+DD38</f>
        <v/>
      </c>
      <c r="DE45" s="24">
        <f>DE3+DE10+DE15+DE16+DE23+DE32+DE38</f>
        <v/>
      </c>
      <c r="DF45" s="24">
        <f>DF3+DF10+DF15+DF16+DF23+DF32+DF38</f>
        <v/>
      </c>
      <c r="DG45" s="24">
        <f>DG3+DG10+DG15+DG16+DG23+DG32+DG38</f>
        <v/>
      </c>
      <c r="DH45" s="25">
        <f>DH3+DH10+DH15+DH16+DH23+DH32+DH38</f>
        <v/>
      </c>
      <c r="DI45" s="26">
        <f>DI3+DI10+DI15+DI16+DI23+DI32+DI38</f>
        <v/>
      </c>
      <c r="DJ45" s="24">
        <f>DJ3+DJ10+DJ15+DJ16+DJ23+DJ32+DJ38</f>
        <v/>
      </c>
      <c r="DK45" s="24">
        <f>DK3+DK10+DK15+DK16+DK23+DK32+DK38</f>
        <v/>
      </c>
      <c r="DL45" s="24">
        <f>DL3+DL10+DL15+DL16+DL23+DL32+DL38</f>
        <v/>
      </c>
      <c r="DM45" s="24">
        <f>DM3+DM10+DM15+DM16+DM23+DM32+DM38</f>
        <v/>
      </c>
      <c r="DN45" s="24">
        <f>DN3+DN10+DN15+DN16+DN23+DN32+DN38</f>
        <v/>
      </c>
      <c r="DO45" s="24">
        <f>DO3+DO10+DO15+DO16+DO23+DO32+DO38</f>
        <v/>
      </c>
      <c r="DP45" s="24">
        <f>DP3+DP10+DP15+DP16+DP23+DP32+DP38</f>
        <v/>
      </c>
      <c r="DQ45" s="24">
        <f>DQ3+DQ10+DQ15+DQ16+DQ23+DQ32+DQ38</f>
        <v/>
      </c>
      <c r="DR45" s="24">
        <f>DR3+DR10+DR15+DR16+DR23+DR32+DR38</f>
        <v/>
      </c>
      <c r="DS45" s="24">
        <f>DS3+DS10+DS15+DS16+DS23+DS32+DS38</f>
        <v/>
      </c>
      <c r="DT45" s="24">
        <f>DT3+DT10+DT15+DT16+DT23+DT32+DT38</f>
        <v/>
      </c>
      <c r="DU45" s="24">
        <f>DU3+DU10+DU15+DU16+DU23+DU32+DU38</f>
        <v/>
      </c>
      <c r="DV45" s="25">
        <f>DV3+DV10+DV15+DV16+DV23+DV32+DV38</f>
        <v/>
      </c>
      <c r="DW45" s="26">
        <f>#REF!+DW16+DW23+DW32+DW38</f>
        <v/>
      </c>
      <c r="DX45" s="24">
        <f>DX3+DX10+DX15+DX16+DX23+DX32+DX38</f>
        <v/>
      </c>
      <c r="DY45" s="24">
        <f>DY3+DY10+DY15+DY16+DY23+DY32+DY38</f>
        <v/>
      </c>
      <c r="DZ45" s="24">
        <f>DZ3+DZ10+DZ15+DZ16+DZ23+DZ32+DZ38</f>
        <v/>
      </c>
      <c r="EA45" s="24">
        <f>EA3+EA10+EA15+EA16+EA23+EA32+EA38</f>
        <v/>
      </c>
      <c r="EB45" s="24">
        <f>EB3+EB10+EB15+EB16+EB23+EB32+EB38</f>
        <v/>
      </c>
      <c r="EC45" s="24">
        <f>EC3+EC10+EC15+EC16+EC23+EC32+EC38</f>
        <v/>
      </c>
      <c r="ED45" s="24">
        <f>ED3+ED10+ED15+ED16+ED23+ED32+ED38</f>
        <v/>
      </c>
      <c r="EE45" s="24">
        <f>EE3+EE10+EE15+EE16+EE23+EE32+EE38</f>
        <v/>
      </c>
      <c r="EF45" s="24">
        <f>EF3+EF10+EF15+EF16+EF23+EF32+EF38</f>
        <v/>
      </c>
      <c r="EG45" s="24">
        <f>EG3+EG10+EG15+EG16+EG23+EG32+EG38</f>
        <v/>
      </c>
      <c r="EH45" s="24">
        <f>EH3+EH10+EH15+EH16+EH23+EH32+EH38</f>
        <v/>
      </c>
      <c r="EI45" s="24">
        <f>EI3+EI10+EI15+EI16+EI23+EI32+EI38</f>
        <v/>
      </c>
      <c r="EJ45" s="25">
        <f>EJ3+EJ10+EJ15+EJ16+EJ23+EJ32+EJ38</f>
        <v/>
      </c>
      <c r="EK45" s="26">
        <f>EK3+EK10+EK15+EK16+EK23+EK32+EK38</f>
        <v/>
      </c>
      <c r="EL45" s="24">
        <f>EL3+EL10+EL15+EL16+EL23+EL32+EL38</f>
        <v/>
      </c>
      <c r="EM45" s="24">
        <f>EM3+EM10+EM15+EM16+EM23+EM32+EM38</f>
        <v/>
      </c>
      <c r="EN45" s="24">
        <f>EN3+EN10+EN15+EN16+EN23+EN32+EN38</f>
        <v/>
      </c>
      <c r="EO45" s="24">
        <f>EO3+EO10+EO15+EO16+EO23+EO32+EO38</f>
        <v/>
      </c>
      <c r="EP45" s="24">
        <f>EP3+EP10+EP15+EP16+EP23+EP32+EP38</f>
        <v/>
      </c>
      <c r="EQ45" s="24">
        <f>EQ3+EQ10+EQ15+EQ16+EQ23+EQ32+EQ38</f>
        <v/>
      </c>
      <c r="ER45" s="24">
        <f>ER3+ER10+ER15+ER16+ER23+ER32+ER38</f>
        <v/>
      </c>
      <c r="ES45" s="24">
        <f>ES3+ES10+ES15+ES16+ES23+ES32+ES38</f>
        <v/>
      </c>
      <c r="ET45" s="24">
        <f>ET3+ET10+ET15+ET16+ET23+ET32+ET38</f>
        <v/>
      </c>
      <c r="EU45" s="24">
        <f>EU3+EU10+EU15+EU16+EU23+EU32+EU38</f>
        <v/>
      </c>
      <c r="EV45" s="24">
        <f>EV3+EV10+EV15+EV16+EV23+EV32+EV38</f>
        <v/>
      </c>
      <c r="EW45" s="24">
        <f>EW3+EW10+EW15+EW16+EW23+EW32+EW38</f>
        <v/>
      </c>
      <c r="EX45" s="25">
        <f>EX3+EX10+EX15+EX16+EX23+EX32+EX38</f>
        <v/>
      </c>
      <c r="EY45" s="26">
        <f>EY3+EY10+EY15+EY16+EY23+EY32+EY38</f>
        <v/>
      </c>
      <c r="EZ45" s="24">
        <f>EZ3+EZ10+EZ15+EZ16+EZ23+EZ32+EZ38</f>
        <v/>
      </c>
      <c r="FA45" s="24">
        <f>FA3+FA10+FA15+FA16+FA23+FA32+FA38</f>
        <v/>
      </c>
      <c r="FB45" s="24">
        <f>FB3+FB10+FB15+FB16+FB23+FB32+FB38</f>
        <v/>
      </c>
      <c r="FC45" s="24">
        <f>FC3+FC10+FC15+FC16+FC23+FC32+FC38</f>
        <v/>
      </c>
      <c r="FD45" s="24">
        <f>FD3+FD10+FD15+FD16+FD23+FD32+FD38</f>
        <v/>
      </c>
      <c r="FE45" s="24">
        <f>FE3+FE10+FE15+FE16+FE23+FE32+FE38</f>
        <v/>
      </c>
      <c r="FF45" s="24">
        <f>FF3+FF10+FF15+FF16+FF23+FF32+FF38</f>
        <v/>
      </c>
      <c r="FG45" s="24">
        <f>FG3+FG10+FG15+FG16+FG23+FG32+FG38</f>
        <v/>
      </c>
      <c r="FH45" s="24">
        <f>FH3+FH10+FH15+FH16+FH23+FH32+FH38</f>
        <v/>
      </c>
      <c r="FI45" s="24">
        <f>FI3+FI10+FI15+FI16+FI23+FI32+FI38</f>
        <v/>
      </c>
      <c r="FJ45" s="24">
        <f>FJ3+FJ10+FJ15+FJ16+FJ23+FJ32+FJ38</f>
        <v/>
      </c>
      <c r="FK45" s="24">
        <f>FK3+FK10+FK15+FK16+FK23+FK32+FK38</f>
        <v/>
      </c>
      <c r="FL45" s="25">
        <f>FL3+FL10+FL15+FL16+FL23+FL32+FL38</f>
        <v/>
      </c>
      <c r="FM45" s="26">
        <f>FM3+FM10+FM15+FM16+FM23+FM32+FM38</f>
        <v/>
      </c>
      <c r="FN45" s="24">
        <f>FN3+FN10+FN15+FN16+FN23+FN32+FN38</f>
        <v/>
      </c>
      <c r="FO45" s="24">
        <f>FO3+FO10+FO15+FO16+FO23+FO32+FO38</f>
        <v/>
      </c>
      <c r="FP45" s="24">
        <f>FP3+FP10+FP15+FP16+FP23+FP32+FP38</f>
        <v/>
      </c>
      <c r="FQ45" s="24">
        <f>FQ3+FQ10+FQ15+FQ16+FQ23+FQ32+FQ38</f>
        <v/>
      </c>
      <c r="FR45" s="24">
        <f>FR3+FR10+FR15+FR16+FR23+FR32+FR38</f>
        <v/>
      </c>
      <c r="FS45" s="24">
        <f>FS3+FS10+FS15+FS16+FS23+FS32+FS38</f>
        <v/>
      </c>
      <c r="FT45" s="24">
        <f>FT3+FT10+FT15+FT16+FT23+FT32+FT38</f>
        <v/>
      </c>
      <c r="FU45" s="24">
        <f>FU3+FU10+FU15+FU16+FU23+FU32+FU38</f>
        <v/>
      </c>
      <c r="FV45" s="24">
        <f>FV3+FV10+FV15+FV16+FV23+FV32+FV38</f>
        <v/>
      </c>
      <c r="FW45" s="24">
        <f>FW3+FW10+FW15+FW16+FW23+FW32+FW38</f>
        <v/>
      </c>
      <c r="FX45" s="24">
        <f>FX3+FX10+FX15+FX16+FX23+FX32+FX38</f>
        <v/>
      </c>
      <c r="FY45" s="24">
        <f>FY3+FY10+FY15+FY16+FY23+FY32+FY38</f>
        <v/>
      </c>
      <c r="FZ45" s="25">
        <f>FZ3+FZ10+FZ15+FZ16+FZ23+FZ32+FZ38</f>
        <v/>
      </c>
      <c r="GA45" s="26">
        <f>GA3+GA10+GA15+GA16+GA23+GA32+GA38</f>
        <v/>
      </c>
      <c r="GB45" s="24">
        <f>GB3+GB10+GB15+GB16+GB23+GB32+GB38</f>
        <v/>
      </c>
      <c r="GC45" s="24">
        <f>GC3+GC10+GC15+GC16+GC23+GC32+GC38</f>
        <v/>
      </c>
      <c r="GD45" s="24">
        <f>GD3+GD10+GD15+GD16+GD23+GD32+GD38</f>
        <v/>
      </c>
      <c r="GE45" s="24">
        <f>GE3+GE10+GE15+GE16+GE23+GE32+GE38</f>
        <v/>
      </c>
      <c r="GF45" s="24">
        <f>GF3+GF10+GF15+GF16+GF23+GF32+GF38</f>
        <v/>
      </c>
      <c r="GG45" s="24">
        <f>GG3+GG10+GG15+GG16+GG23+GG32+GG38</f>
        <v/>
      </c>
      <c r="GH45" s="24">
        <f>GH3+GH10+GH15+GH16+GH23+GH32+GH38</f>
        <v/>
      </c>
      <c r="GI45" s="24">
        <f>GI3+GI10+GI15+GI16+GI23+GI32+GI38</f>
        <v/>
      </c>
      <c r="GJ45" s="24">
        <f>GJ3+GJ10+GJ15+GJ16+GJ23+GJ32+GJ38</f>
        <v/>
      </c>
      <c r="GK45" s="24">
        <f>GK3+GK10+GK15+GK16+GK23+GK32+GK38</f>
        <v/>
      </c>
      <c r="GL45" s="24">
        <f>GL3+GL10+GL15+GL16+GL23+GL32+GL38</f>
        <v/>
      </c>
      <c r="GM45" s="24">
        <f>GM3+GM10+GM15+GM16+GM23+GM32+GM38</f>
        <v/>
      </c>
      <c r="GN45" s="25">
        <f>GN3+GN10+GN15+GN16+GN23+GN32+GN38</f>
        <v/>
      </c>
      <c r="GO45" s="26">
        <f>GO3+GO10+GO15+GO16+GO23+GO32+GO38</f>
        <v/>
      </c>
      <c r="GP45" s="24">
        <f>GP3+GP10+GP15+GP16+GP23+GP32+GP38</f>
        <v/>
      </c>
      <c r="GQ45" s="24">
        <f>GQ3+GQ10+GQ15+GQ16+GQ23+GQ32+GQ38</f>
        <v/>
      </c>
      <c r="GR45" s="24">
        <f>GR3+GR10+GR15+GR16+GR23+GR32+GR38</f>
        <v/>
      </c>
      <c r="GS45" s="24">
        <f>GS3+GS10+GS15+GS16+GS23+GS32+GS38</f>
        <v/>
      </c>
      <c r="GT45" s="24">
        <f>GT3+GT10+GT15+GT16+GT23+GT32+GT38</f>
        <v/>
      </c>
      <c r="GU45" s="24">
        <f>GU3+GU10+GU15+GU16+GU23+GU32+GU38</f>
        <v/>
      </c>
      <c r="GV45" s="24">
        <f>GV3+GV10+GV15+GV16+GV23+GV32+GV38</f>
        <v/>
      </c>
      <c r="GW45" s="24">
        <f>GW3+GW10+GW15+GW16+GW23+GW32+GW38</f>
        <v/>
      </c>
      <c r="GX45" s="24">
        <f>GX3+GX10+GX15+GX16+GX23+GX32+GX38</f>
        <v/>
      </c>
      <c r="GY45" s="24">
        <f>GY3+GY10+GY15+GY16+GY23+GY32+GY38</f>
        <v/>
      </c>
      <c r="GZ45" s="24">
        <f>GZ3+GZ10+GZ15+GZ16+GZ23+GZ32+GZ38</f>
        <v/>
      </c>
      <c r="HA45" s="24">
        <f>HA3+HA10+HA15+HA16+HA23+HA32+HA38</f>
        <v/>
      </c>
      <c r="HB45" s="25">
        <f>HB3+HB10+HB15+HB16+HB23+HB32+HB38</f>
        <v/>
      </c>
      <c r="HC45" s="26">
        <f>HC3+HC10+HC15+HC16+HC23+HC32+HC38</f>
        <v/>
      </c>
      <c r="HD45" s="24">
        <f>HD3+HD10+HD15+HD16+HD23+HD32+HD38</f>
        <v/>
      </c>
      <c r="HE45" s="24">
        <f>HE3+HE10+HE15+HE16+HE23+HE32+HE38</f>
        <v/>
      </c>
      <c r="HF45" s="24">
        <f>HF3+HF10+HF15+HF16+HF23+HF32+HF38</f>
        <v/>
      </c>
      <c r="HG45" s="24">
        <f>HG3+HG10+HG15+HG16+HG23+HG32+HG38</f>
        <v/>
      </c>
      <c r="HH45" s="24">
        <f>HH3+HH10+HH15+HH16+HH23+HH32+HH38</f>
        <v/>
      </c>
      <c r="HI45" s="24">
        <f>HI3+HI10+HI15+HI16+HI23+HI32+HI38</f>
        <v/>
      </c>
      <c r="HJ45" s="24">
        <f>HJ3+HJ10+HJ15+HJ16+HJ23+HJ32+HJ38</f>
        <v/>
      </c>
      <c r="HK45" s="24">
        <f>HK3+HK10+HK15+HK16+HK23+HK32+HK38</f>
        <v/>
      </c>
      <c r="HL45" s="24">
        <f>HL3+HL10+HL15+HL16+HL23+HL32+HL38</f>
        <v/>
      </c>
      <c r="HM45" s="24">
        <f>HM3+HM10+HM15+HM16+HM23+HM32+HM38</f>
        <v/>
      </c>
      <c r="HN45" s="24">
        <f>HN3+HN10+HN15+HN16+HN23+HN32+HN38</f>
        <v/>
      </c>
      <c r="HO45" s="24">
        <f>HO3+HO10+HO15+HO16+HO23+HO32+HO38</f>
        <v/>
      </c>
      <c r="HP45" s="25">
        <f>HP3+HP10+HP15+HP16+HP23+HP32+HP38</f>
        <v/>
      </c>
      <c r="HQ45" s="26">
        <f>HQ3+HQ10+HQ15+HQ16+HQ23+HQ32+HQ38</f>
        <v/>
      </c>
      <c r="HR45" s="24">
        <f>HR3+HR10+HR15+HR16+HR23+HR32+HR38</f>
        <v/>
      </c>
      <c r="HS45" s="24">
        <f>HS3+HS10+HS15+HS16+HS23+HS32+HS38</f>
        <v/>
      </c>
      <c r="HT45" s="24">
        <f>HT3+HT10+HT15+HT16+HT23+HT32+HT38</f>
        <v/>
      </c>
      <c r="HU45" s="24">
        <f>HU3+HU10+HU15+HU16+HU23+HU32+HU38</f>
        <v/>
      </c>
      <c r="HV45" s="24">
        <f>HV3+HV10+HV15+HV16+HV23+HV32+HV38</f>
        <v/>
      </c>
      <c r="HW45" s="24">
        <f>HW3+HW10+HW15+HW16+HW23+HW32+HW38</f>
        <v/>
      </c>
      <c r="HX45" s="24">
        <f>HX3+HX10+HX15+HX16+HX23+HX32+HX38</f>
        <v/>
      </c>
      <c r="HY45" s="24">
        <f>HY3+HY10+HY15+HY16+HY23+HY32+HY38</f>
        <v/>
      </c>
      <c r="HZ45" s="24">
        <f>HZ3+HZ10+HZ15+HZ16+HZ23+HZ32+HZ38</f>
        <v/>
      </c>
      <c r="IA45" s="24">
        <f>IA3+IA10+IA15+IA16+IA23+IA32+IA38</f>
        <v/>
      </c>
      <c r="IB45" s="24">
        <f>IB3+IB10+IB15+IB16+IB23+IB32+IB38</f>
        <v/>
      </c>
      <c r="IC45" s="24">
        <f>IC3+IC10+IC15+IC16+IC23+IC32+IC38</f>
        <v/>
      </c>
      <c r="ID45" s="25">
        <f>ID3+ID10+ID15+ID16+ID23+ID32+ID38</f>
        <v/>
      </c>
      <c r="IE45" s="26">
        <f>IE3+IE10+IE15+IE16+IE23+IE32+IE38</f>
        <v/>
      </c>
      <c r="IF45" s="24">
        <f>IF3+IF10+IF15+IF16+IF23+IF32+IF38</f>
        <v/>
      </c>
      <c r="IG45" s="24">
        <f>IG3+IG10+IG15+IG16+IG23+IG32+IG38</f>
        <v/>
      </c>
      <c r="IH45" s="24">
        <f>IH3+IH10+IH15+IH16+IH23+IH32+IH38</f>
        <v/>
      </c>
      <c r="II45" s="24">
        <f>II3+II10+II15+II16+II23+II32+II38</f>
        <v/>
      </c>
      <c r="IJ45" s="24">
        <f>IJ3+IJ10+IJ15+IJ16+IJ23+IJ32+IJ38</f>
        <v/>
      </c>
      <c r="IK45" s="24">
        <f>IK3+IK10+IK15+IK16+IK23+IK32+IK38</f>
        <v/>
      </c>
      <c r="IL45" s="24">
        <f>IL3+IL10+IL15+IL16+IL23+IL32+IL38</f>
        <v/>
      </c>
      <c r="IM45" s="24">
        <f>IM3+IM10+IM15+IM16+IM23+IM32+IM38</f>
        <v/>
      </c>
      <c r="IN45" s="24">
        <f>IN3+IN10+IN15+IN16+IN23+IN32+IN38</f>
        <v/>
      </c>
      <c r="IO45" s="24">
        <f>IO3+IO10+IO15+IO16+IO23+IO32+IO38</f>
        <v/>
      </c>
      <c r="IP45" s="24">
        <f>IP3+IP10+IP15+IP16+IP23+IP32+IP38</f>
        <v/>
      </c>
      <c r="IQ45" s="24">
        <f>IQ3+IQ10+IQ15+IQ16+IQ23+IQ32+IQ38</f>
        <v/>
      </c>
      <c r="IR45" s="25">
        <f>IR3+IR10+IR15+IR16+IR23+IR32+IR38</f>
        <v/>
      </c>
      <c r="IS45" s="26">
        <f>IS3+IS10+IS15+IS16+IS23+IS32+IS38</f>
        <v/>
      </c>
      <c r="IT45" s="24">
        <f>IT3+IT10+IT15+IT16+IT23+IT32+IT38</f>
        <v/>
      </c>
      <c r="IU45" s="24">
        <f>IU3+IU10+IU15+IU16+IU23+IU32+IU38</f>
        <v/>
      </c>
      <c r="IV45" s="24">
        <f>IV3+IV10+IV15+IV16+IV23+IV32+IV38</f>
        <v/>
      </c>
      <c r="IW45" s="24">
        <f>IW3+IW10+IW15+IW16+IW23+IW32+IW38</f>
        <v/>
      </c>
      <c r="IX45" s="24">
        <f>IX3+IX10+IX15+IX16+IX23+IX32+IX38</f>
        <v/>
      </c>
      <c r="IY45" s="24">
        <f>IY3+IY10+IY15+IY16+IY23+IY32+IY38</f>
        <v/>
      </c>
      <c r="IZ45" s="24">
        <f>IZ3+IZ10+IZ15+IZ16+IZ23+IZ32+IZ38</f>
        <v/>
      </c>
      <c r="JA45" s="24">
        <f>JA3+JA10+JA15+JA16+JA23+JA32+JA38</f>
        <v/>
      </c>
      <c r="JB45" s="24">
        <f>JB3+JB10+JB15+JB16+JB23+JB32+JB38</f>
        <v/>
      </c>
      <c r="JC45" s="24">
        <f>JC3+JC10+JC15+JC16+JC23+JC32+JC38</f>
        <v/>
      </c>
      <c r="JD45" s="24">
        <f>JD3+JD10+JD15+JD16+JD23+JD32+JD38</f>
        <v/>
      </c>
      <c r="JE45" s="24">
        <f>JE3+JE10+JE15+JE16+JE23+JE32+JE38</f>
        <v/>
      </c>
      <c r="JF45" s="25">
        <f>JF3+JF10+JF15+JF16+JF23+JF32+JF38</f>
        <v/>
      </c>
      <c r="JG45" s="26">
        <f>JG3+JG10+JG15+JG16+JG23+JG32+JG38</f>
        <v/>
      </c>
      <c r="JH45" s="24">
        <f>JH3+JH10+JH15+JH16+JH23+JH32+JH38</f>
        <v/>
      </c>
      <c r="JI45" s="24">
        <f>JI3+JI10+JI15+JI16+JI23+JI32+JI38</f>
        <v/>
      </c>
      <c r="JJ45" s="24">
        <f>JJ3+JJ10+JJ15+JJ16+JJ23+JJ32+JJ38</f>
        <v/>
      </c>
      <c r="JK45" s="24">
        <f>JK3+JK10+JK15+JK16+JK23+JK32+JK38</f>
        <v/>
      </c>
      <c r="JL45" s="24">
        <f>JL3+JL10+JL15+JL16+JL23+JL32+JL38</f>
        <v/>
      </c>
      <c r="JM45" s="24">
        <f>JM3+JM10+JM15+JM16+JM23+JM32+JM38</f>
        <v/>
      </c>
      <c r="JN45" s="24">
        <f>JN3+JN10+JN15+JN16+JN23+JN32+JN38</f>
        <v/>
      </c>
      <c r="JO45" s="24">
        <f>JO3+JO10+JO15+JO16+JO23+JO32+JO38</f>
        <v/>
      </c>
      <c r="JP45" s="24">
        <f>JP3+JP10+JP15+JP16+JP23+JP32+JP38</f>
        <v/>
      </c>
      <c r="JQ45" s="24">
        <f>JQ3+JQ10+JQ15+JQ16+JQ23+JQ32+JQ38</f>
        <v/>
      </c>
      <c r="JR45" s="24">
        <f>JR3+JR10+JR15+JR16+JR23+JR32+JR38</f>
        <v/>
      </c>
      <c r="JS45" s="24">
        <f>JS3+JS10+JS15+JS16+JS23+JS32+JS38</f>
        <v/>
      </c>
      <c r="JT45" s="25">
        <f>JT3+JT10+JT15+JT16+JT23+JT32+JT38</f>
        <v/>
      </c>
      <c r="JU45" s="26">
        <f>JU3+JU10+JU15+JU16+JU23+JU32+JU38</f>
        <v/>
      </c>
      <c r="JV45" s="24">
        <f>JV3+JV10+JV15+JV16+JV23+JV32+JV38</f>
        <v/>
      </c>
      <c r="JW45" s="24">
        <f>JW3+JW10+JW15+JW16+JW23+JW32+JW38</f>
        <v/>
      </c>
      <c r="JX45" s="24">
        <f>JX3+JX10+JX15+JX16+JX23+JX32+JX38</f>
        <v/>
      </c>
      <c r="JY45" s="24">
        <f>JY3+JY10+JY15+JY16+JY23+JY32+JY38</f>
        <v/>
      </c>
      <c r="JZ45" s="24">
        <f>JZ3+JZ10+JZ15+JZ16+JZ23+JZ32+JZ38</f>
        <v/>
      </c>
      <c r="KA45" s="24">
        <f>KA3+KA10+KA15+KA16+KA23+KA32+KA38</f>
        <v/>
      </c>
      <c r="KB45" s="24">
        <f>KB3+KB10+KB15+KB16+KB23+KB32+KB38</f>
        <v/>
      </c>
      <c r="KC45" s="24">
        <f>KC3+KC10+KC15+KC16+KC23+KC32+KC38</f>
        <v/>
      </c>
      <c r="KD45" s="24">
        <f>KD3+KD10+KD15+KD16+KD23+KD32+KD38</f>
        <v/>
      </c>
      <c r="KE45" s="24">
        <f>KE3+KE10+KE15+KE16+KE23+KE32+KE38</f>
        <v/>
      </c>
      <c r="KF45" s="24">
        <f>KF3+KF10+KF15+KF16+KF23+KF32+KF38</f>
        <v/>
      </c>
      <c r="KG45" s="24">
        <f>KG3+KG10+KG15+KG16+KG23+KG32+KG38</f>
        <v/>
      </c>
      <c r="KH45" s="25">
        <f>KH3+KH10+KH15+KH16+KH23+KH32+KH38</f>
        <v/>
      </c>
      <c r="KI45" s="26">
        <f>KI3+KI10+KI15+KI16+KI23+KI32+KI38</f>
        <v/>
      </c>
      <c r="KJ45" s="24">
        <f>KJ3+KJ10+KJ15+KJ16+KJ23+KJ32+KJ38</f>
        <v/>
      </c>
      <c r="KK45" s="24">
        <f>KK3+KK10+KK15+KK16+KK23+KK32+KK38</f>
        <v/>
      </c>
      <c r="KL45" s="24">
        <f>KL3+KL10+KL15+KL16+KL23+KL32+KL38</f>
        <v/>
      </c>
      <c r="KM45" s="24">
        <f>KM3+KM10+KM15+KM16+KM23+KM32+KM38</f>
        <v/>
      </c>
      <c r="KN45" s="24">
        <f>KN3+KN10+KN15+KN16+KN23+KN32+KN38</f>
        <v/>
      </c>
      <c r="KO45" s="24">
        <f>KO3+KO10+KO15+KO16+KO23+KO32+KO38</f>
        <v/>
      </c>
      <c r="KP45" s="24">
        <f>KP3+KP10+KP15+KP16+KP23+KP32+KP38</f>
        <v/>
      </c>
      <c r="KQ45" s="24">
        <f>KQ3+KQ10+KQ15+KQ16+KQ23+KQ32+KQ38</f>
        <v/>
      </c>
      <c r="KR45" s="24">
        <f>KR3+KR10+KR15+KR16+KR23+KR32+KR38</f>
        <v/>
      </c>
      <c r="KS45" s="24">
        <f>KS3+KS10+KS15+KS16+KS23+KS32+KS38</f>
        <v/>
      </c>
      <c r="KT45" s="24">
        <f>KT3+KT10+KT15+KT16+KT23+KT32+KT38</f>
        <v/>
      </c>
      <c r="KU45" s="24">
        <f>KU3+KU10+KU15+KU16+KU23+KU32+KU38</f>
        <v/>
      </c>
      <c r="KV45" s="25">
        <f>KV3+KV10+KV15+KV16+KV23+KV32+KV38</f>
        <v/>
      </c>
      <c r="KW45" s="26">
        <f>KW3+KW10+KW15+KW16+KW23+KW32+KW38</f>
        <v/>
      </c>
      <c r="KX45" s="78">
        <f>N45+AB45+AP45+BD45+BR45+CF45+CT45+DH45+DV45+EJ45+EX45+FZ45+GN45+HB45+HP45+ID45+IR45+JF45+KH45+KV45+JT45</f>
        <v/>
      </c>
      <c r="KY45" s="80">
        <f>KY3+KY10+KY15+KY16+KY23+KY32+KY38</f>
        <v/>
      </c>
    </row>
    <row r="46">
      <c r="A46" s="27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  <c r="AO46" s="10" t="n"/>
      <c r="AR46" s="28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  <c r="BB46" s="28" t="n"/>
      <c r="BC46" s="28" t="n"/>
      <c r="BD46" s="28" t="n"/>
      <c r="BE46" s="28" t="n"/>
      <c r="BF46" s="28" t="n"/>
      <c r="BG46" s="28" t="n"/>
      <c r="BH46" s="28" t="n"/>
      <c r="BI46" s="28" t="n"/>
      <c r="BJ46" s="28" t="n"/>
      <c r="BK46" s="28" t="n"/>
      <c r="BL46" s="28" t="n"/>
      <c r="BM46" s="28" t="n"/>
      <c r="BN46" s="28" t="n"/>
      <c r="BO46" s="28" t="n"/>
      <c r="BP46" s="28" t="n"/>
      <c r="BQ46" s="28" t="n"/>
      <c r="BR46" s="28" t="n"/>
      <c r="BS46" s="28" t="n"/>
      <c r="BT46" s="28" t="n"/>
      <c r="BU46" s="28" t="n"/>
      <c r="BV46" s="28" t="n"/>
      <c r="BW46" s="28" t="n"/>
      <c r="BX46" s="28" t="n"/>
      <c r="BY46" s="28" t="n"/>
      <c r="BZ46" s="28" t="n"/>
      <c r="CA46" s="28" t="n"/>
      <c r="CB46" s="28" t="n"/>
      <c r="CC46" s="28" t="n"/>
      <c r="CD46" s="28" t="n"/>
      <c r="CE46" s="28" t="n"/>
      <c r="CF46" s="28" t="n"/>
      <c r="CG46" s="28" t="n"/>
      <c r="CH46" s="28" t="n"/>
      <c r="CI46" s="28" t="n"/>
      <c r="CJ46" s="28" t="n"/>
      <c r="CK46" s="28" t="n"/>
      <c r="CL46" s="28" t="n"/>
      <c r="CM46" s="28" t="n"/>
      <c r="CN46" s="28" t="n"/>
      <c r="CO46" s="28" t="n"/>
      <c r="CP46" s="28" t="n"/>
      <c r="CQ46" s="28" t="n"/>
      <c r="CR46" s="28" t="n"/>
      <c r="CS46" s="28" t="n"/>
      <c r="CT46" s="28" t="n"/>
      <c r="CU46" s="28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J46" s="10" t="n"/>
      <c r="DK46" s="10" t="n"/>
      <c r="DL46" s="10" t="n"/>
      <c r="DM46" s="10" t="n"/>
      <c r="DN46" s="10" t="n"/>
      <c r="DO46" s="10" t="n"/>
      <c r="DP46" s="10" t="n"/>
      <c r="DQ46" s="10" t="n"/>
      <c r="DR46" s="10" t="n"/>
      <c r="DS46" s="10" t="n"/>
      <c r="DT46" s="10" t="n"/>
      <c r="DU46" s="10" t="n"/>
      <c r="DX46" s="10" t="n"/>
      <c r="DY46" s="10" t="n"/>
      <c r="DZ46" s="10" t="n"/>
      <c r="EA46" s="10" t="n"/>
      <c r="EB46" s="10" t="n"/>
      <c r="EC46" s="10" t="n"/>
      <c r="ED46" s="10" t="n"/>
      <c r="EE46" s="10" t="n"/>
      <c r="EF46" s="10" t="n"/>
      <c r="EG46" s="10" t="n"/>
      <c r="EH46" s="10" t="n"/>
      <c r="EI46" s="10" t="n"/>
      <c r="EL46" s="28" t="n"/>
      <c r="EM46" s="28" t="n"/>
      <c r="EN46" s="28" t="n"/>
      <c r="EO46" s="28" t="n"/>
      <c r="EP46" s="28" t="n"/>
      <c r="EQ46" s="28" t="n"/>
      <c r="ER46" s="28" t="n"/>
      <c r="ES46" s="28" t="n"/>
      <c r="ET46" s="28" t="n"/>
      <c r="EU46" s="28" t="n"/>
      <c r="EV46" s="28" t="n"/>
      <c r="EW46" s="28" t="n"/>
      <c r="EX46" s="28" t="n"/>
      <c r="EY46" s="28" t="n"/>
      <c r="EZ46" s="28" t="n"/>
      <c r="FA46" s="28" t="n"/>
      <c r="FB46" s="28" t="n"/>
      <c r="FC46" s="28" t="n"/>
      <c r="FD46" s="28" t="n"/>
      <c r="FE46" s="28" t="n"/>
      <c r="FF46" s="28" t="n"/>
      <c r="FG46" s="28" t="n"/>
      <c r="FH46" s="28" t="n"/>
      <c r="FI46" s="28" t="n"/>
      <c r="FJ46" s="28" t="n"/>
      <c r="FK46" s="28" t="n"/>
      <c r="FL46" s="28" t="n"/>
      <c r="FM46" s="28" t="n"/>
      <c r="FN46" s="28" t="n"/>
      <c r="FO46" s="28" t="n"/>
      <c r="FP46" s="28" t="n"/>
      <c r="FQ46" s="28" t="n"/>
      <c r="FR46" s="28" t="n"/>
      <c r="FS46" s="28" t="n"/>
      <c r="FT46" s="28" t="n"/>
      <c r="FU46" s="28" t="n"/>
      <c r="FV46" s="28" t="n"/>
      <c r="FW46" s="28" t="n"/>
      <c r="FX46" s="28" t="n"/>
      <c r="FY46" s="28" t="n"/>
      <c r="FZ46" s="28" t="n"/>
      <c r="GA46" s="28" t="n"/>
      <c r="GB46" s="28" t="n"/>
      <c r="GC46" s="28" t="n"/>
      <c r="GD46" s="28" t="n"/>
      <c r="GE46" s="28" t="n"/>
      <c r="GF46" s="28" t="n"/>
      <c r="GG46" s="28" t="n"/>
      <c r="GH46" s="28" t="n"/>
      <c r="GI46" s="28" t="n"/>
      <c r="GJ46" s="28" t="n"/>
      <c r="GK46" s="28" t="n"/>
      <c r="GL46" s="28" t="n"/>
      <c r="GM46" s="28" t="n"/>
      <c r="GN46" s="28" t="n"/>
      <c r="GO46" s="28" t="n"/>
      <c r="GP46" s="28" t="n"/>
      <c r="GQ46" s="28" t="n"/>
      <c r="GR46" s="28" t="n"/>
      <c r="GS46" s="28" t="n"/>
      <c r="GT46" s="28" t="n"/>
      <c r="GU46" s="28" t="n"/>
      <c r="GV46" s="28" t="n"/>
      <c r="GW46" s="28" t="n"/>
      <c r="GX46" s="28" t="n"/>
      <c r="GY46" s="28" t="n"/>
      <c r="GZ46" s="28" t="n"/>
      <c r="HA46" s="28" t="n"/>
      <c r="HB46" s="28" t="n"/>
      <c r="HC46" s="28" t="n"/>
      <c r="HD46" s="28" t="n"/>
      <c r="HE46" s="28" t="n"/>
      <c r="HF46" s="28" t="n"/>
      <c r="HG46" s="28" t="n"/>
      <c r="HH46" s="28" t="n"/>
      <c r="HI46" s="28" t="n"/>
      <c r="HJ46" s="28" t="n"/>
      <c r="HK46" s="28" t="n"/>
      <c r="HL46" s="28" t="n"/>
      <c r="HM46" s="28" t="n"/>
      <c r="HN46" s="28" t="n"/>
      <c r="HO46" s="28" t="n"/>
      <c r="HP46" s="28" t="n"/>
      <c r="HQ46" s="28" t="n"/>
      <c r="HR46" s="28" t="n"/>
      <c r="HS46" s="28" t="n"/>
      <c r="HT46" s="28" t="n"/>
      <c r="HU46" s="28" t="n"/>
      <c r="HV46" s="28" t="n"/>
      <c r="HW46" s="28" t="n"/>
      <c r="HX46" s="28" t="n"/>
      <c r="HY46" s="28" t="n"/>
      <c r="HZ46" s="28" t="n"/>
      <c r="IA46" s="28" t="n"/>
      <c r="IB46" s="28" t="n"/>
      <c r="IC46" s="28" t="n"/>
      <c r="ID46" s="28" t="n"/>
      <c r="IE46" s="28" t="n"/>
      <c r="IF46" s="28" t="n"/>
      <c r="IG46" s="28" t="n"/>
      <c r="IH46" s="28" t="n"/>
      <c r="II46" s="28" t="n"/>
      <c r="IJ46" s="28" t="n"/>
      <c r="IK46" s="28" t="n"/>
      <c r="IL46" s="28" t="n"/>
      <c r="IM46" s="28" t="n"/>
      <c r="IN46" s="28" t="n"/>
      <c r="IO46" s="28" t="n"/>
      <c r="IP46" s="28" t="n"/>
      <c r="IQ46" s="28" t="n"/>
      <c r="IR46" s="28" t="n"/>
      <c r="IS46" s="28" t="n"/>
      <c r="IT46" s="28" t="n"/>
      <c r="IU46" s="28" t="n"/>
      <c r="IV46" s="28" t="n"/>
      <c r="IW46" s="28" t="n"/>
      <c r="IX46" s="28" t="n"/>
      <c r="IY46" s="28" t="n"/>
      <c r="IZ46" s="28" t="n"/>
      <c r="JA46" s="28" t="n"/>
      <c r="JB46" s="28" t="n"/>
      <c r="JC46" s="28" t="n"/>
      <c r="JD46" s="28" t="n"/>
      <c r="JE46" s="28" t="n"/>
      <c r="JF46" s="28" t="n"/>
      <c r="JG46" s="28" t="n"/>
      <c r="JH46" s="28" t="n"/>
      <c r="JI46" s="28" t="n"/>
      <c r="JJ46" s="28" t="n"/>
      <c r="JK46" s="28" t="n"/>
      <c r="JL46" s="28" t="n"/>
      <c r="JM46" s="28" t="n"/>
      <c r="JN46" s="28" t="n"/>
      <c r="JO46" s="28" t="n"/>
      <c r="JP46" s="28" t="n"/>
      <c r="JQ46" s="28" t="n"/>
      <c r="JR46" s="28" t="n"/>
      <c r="JS46" s="28" t="n"/>
      <c r="JT46" s="28" t="n"/>
      <c r="JU46" s="28" t="n"/>
      <c r="JV46" s="28" t="n"/>
      <c r="JW46" s="28" t="n"/>
      <c r="JX46" s="28" t="n"/>
      <c r="JY46" s="28" t="n"/>
      <c r="JZ46" s="28" t="n"/>
      <c r="KA46" s="28" t="n"/>
      <c r="KB46" s="28" t="n"/>
      <c r="KC46" s="28" t="n"/>
      <c r="KD46" s="28" t="n"/>
      <c r="KE46" s="28" t="n"/>
      <c r="KF46" s="28" t="n"/>
      <c r="KG46" s="28" t="n"/>
      <c r="KH46" s="28" t="n"/>
      <c r="KI46" s="28" t="n"/>
      <c r="KJ46" s="28" t="n"/>
      <c r="KK46" s="28" t="n"/>
      <c r="KL46" s="28" t="n"/>
      <c r="KM46" s="28" t="n"/>
      <c r="KN46" s="28" t="n"/>
      <c r="KO46" s="28" t="n"/>
      <c r="KP46" s="28" t="n"/>
      <c r="KQ46" s="28" t="n"/>
      <c r="KR46" s="28" t="n"/>
      <c r="KS46" s="28" t="n"/>
      <c r="KT46" s="28" t="n"/>
      <c r="KU46" s="28" t="n"/>
      <c r="KV46" s="28" t="n"/>
      <c r="KW46" s="28" t="n"/>
      <c r="KX46" s="28" t="n"/>
    </row>
    <row r="47">
      <c r="A47" s="27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R47" s="28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  <c r="BB47" s="28" t="n"/>
      <c r="BC47" s="28" t="n"/>
      <c r="BD47" s="28" t="n"/>
      <c r="BE47" s="28" t="n"/>
      <c r="BF47" s="28" t="n"/>
      <c r="BG47" s="28" t="n"/>
      <c r="BH47" s="28" t="n"/>
      <c r="BI47" s="28" t="n"/>
      <c r="BJ47" s="28" t="n"/>
      <c r="BK47" s="28" t="n"/>
      <c r="BL47" s="28" t="n"/>
      <c r="BM47" s="28" t="n"/>
      <c r="BN47" s="28" t="n"/>
      <c r="BO47" s="28" t="n"/>
      <c r="BP47" s="28" t="n"/>
      <c r="BQ47" s="28" t="n"/>
      <c r="BR47" s="28" t="n"/>
      <c r="BS47" s="28" t="n"/>
      <c r="BT47" s="28" t="n"/>
      <c r="BU47" s="28" t="n"/>
      <c r="BV47" s="28" t="n"/>
      <c r="BW47" s="28" t="n"/>
      <c r="BX47" s="28" t="n"/>
      <c r="BY47" s="28" t="n"/>
      <c r="BZ47" s="28" t="n"/>
      <c r="CA47" s="28" t="n"/>
      <c r="CB47" s="28" t="n"/>
      <c r="CC47" s="28" t="n"/>
      <c r="CD47" s="28" t="n"/>
      <c r="CE47" s="28" t="n"/>
      <c r="CF47" s="28" t="n"/>
      <c r="CG47" s="28" t="n"/>
      <c r="CH47" s="28" t="n"/>
      <c r="CI47" s="28" t="n"/>
      <c r="CJ47" s="28" t="n"/>
      <c r="CK47" s="28" t="n"/>
      <c r="CL47" s="28" t="n"/>
      <c r="CM47" s="28" t="n"/>
      <c r="CN47" s="28" t="n"/>
      <c r="CO47" s="28" t="n"/>
      <c r="CP47" s="28" t="n"/>
      <c r="CQ47" s="28" t="n"/>
      <c r="CR47" s="28" t="n"/>
      <c r="CS47" s="28" t="n"/>
      <c r="CT47" s="28" t="n"/>
      <c r="CU47" s="28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L47" s="28" t="n"/>
      <c r="EM47" s="28" t="n"/>
      <c r="EN47" s="28" t="n"/>
      <c r="EO47" s="28" t="n"/>
      <c r="EP47" s="28" t="n"/>
      <c r="EQ47" s="28" t="n"/>
      <c r="ER47" s="28" t="n"/>
      <c r="ES47" s="28" t="n"/>
      <c r="ET47" s="28" t="n"/>
      <c r="EU47" s="28" t="n"/>
      <c r="EV47" s="28" t="n"/>
      <c r="EW47" s="28" t="n"/>
      <c r="EX47" s="28" t="n"/>
      <c r="EY47" s="28" t="n"/>
      <c r="EZ47" s="28" t="n"/>
      <c r="FA47" s="28" t="n"/>
      <c r="FB47" s="28" t="n"/>
      <c r="FC47" s="28" t="n"/>
      <c r="FD47" s="28" t="n"/>
      <c r="FE47" s="28" t="n"/>
      <c r="FF47" s="28" t="n"/>
      <c r="FG47" s="28" t="n"/>
      <c r="FH47" s="28" t="n"/>
      <c r="FI47" s="28" t="n"/>
      <c r="FJ47" s="28" t="n"/>
      <c r="FK47" s="28" t="n"/>
      <c r="FL47" s="28" t="n"/>
      <c r="FM47" s="28" t="n"/>
      <c r="FN47" s="28" t="n"/>
      <c r="FO47" s="28" t="n"/>
      <c r="FP47" s="28" t="n"/>
      <c r="FQ47" s="28" t="n"/>
      <c r="FR47" s="28" t="n"/>
      <c r="FS47" s="28" t="n"/>
      <c r="FT47" s="28" t="n"/>
      <c r="FU47" s="28" t="n"/>
      <c r="FV47" s="28" t="n"/>
      <c r="FW47" s="28" t="n"/>
      <c r="FX47" s="28" t="n"/>
      <c r="FY47" s="28" t="n"/>
      <c r="FZ47" s="28" t="n"/>
      <c r="GA47" s="28" t="n"/>
      <c r="GB47" s="28" t="n"/>
      <c r="GC47" s="28" t="n"/>
      <c r="GD47" s="28" t="n"/>
      <c r="GE47" s="28" t="n"/>
      <c r="GF47" s="28" t="n"/>
      <c r="GG47" s="28" t="n"/>
      <c r="GH47" s="28" t="n"/>
      <c r="GI47" s="28" t="n"/>
      <c r="GJ47" s="28" t="n"/>
      <c r="GK47" s="28" t="n"/>
      <c r="GL47" s="28" t="n"/>
      <c r="GM47" s="28" t="n"/>
      <c r="GN47" s="28" t="n"/>
      <c r="GO47" s="28" t="n"/>
      <c r="GP47" s="28" t="n"/>
      <c r="GQ47" s="28" t="n"/>
      <c r="GR47" s="28" t="n"/>
      <c r="GS47" s="28" t="n"/>
      <c r="GT47" s="28" t="n"/>
      <c r="GU47" s="28" t="n"/>
      <c r="GV47" s="28" t="n"/>
      <c r="GW47" s="28" t="n"/>
      <c r="GX47" s="28" t="n"/>
      <c r="GY47" s="28" t="n"/>
      <c r="GZ47" s="28" t="n"/>
      <c r="HA47" s="28" t="n"/>
      <c r="HB47" s="28" t="n"/>
      <c r="HC47" s="28" t="n"/>
      <c r="HD47" s="28" t="n"/>
      <c r="HE47" s="28" t="n"/>
      <c r="HF47" s="28" t="n"/>
      <c r="HG47" s="28" t="n"/>
      <c r="HH47" s="28" t="n"/>
      <c r="HI47" s="28" t="n"/>
      <c r="HJ47" s="28" t="n"/>
      <c r="HK47" s="28" t="n"/>
      <c r="HL47" s="28" t="n"/>
      <c r="HM47" s="28" t="n"/>
      <c r="HN47" s="28" t="n"/>
      <c r="HO47" s="28" t="n"/>
      <c r="HP47" s="28" t="n"/>
      <c r="HQ47" s="28" t="n"/>
      <c r="HR47" s="28" t="n"/>
      <c r="HS47" s="28" t="n"/>
      <c r="HT47" s="28" t="n"/>
      <c r="HU47" s="28" t="n"/>
      <c r="HV47" s="28" t="n"/>
      <c r="HW47" s="28" t="n"/>
      <c r="HX47" s="28" t="n"/>
      <c r="HY47" s="28" t="n"/>
      <c r="HZ47" s="28" t="n"/>
      <c r="IA47" s="28" t="n"/>
      <c r="IB47" s="28" t="n"/>
      <c r="IC47" s="28" t="n"/>
      <c r="ID47" s="28" t="n"/>
      <c r="IE47" s="28" t="n"/>
      <c r="IF47" s="28" t="n"/>
      <c r="IG47" s="28" t="n"/>
      <c r="IH47" s="28" t="n"/>
      <c r="II47" s="28" t="n"/>
      <c r="IJ47" s="28" t="n"/>
      <c r="IK47" s="28" t="n"/>
      <c r="IL47" s="28" t="n"/>
      <c r="IM47" s="28" t="n"/>
      <c r="IN47" s="28" t="n"/>
      <c r="IO47" s="28" t="n"/>
      <c r="IP47" s="28" t="n"/>
      <c r="IQ47" s="28" t="n"/>
      <c r="IR47" s="28" t="n"/>
      <c r="IS47" s="28" t="n"/>
      <c r="IT47" s="28" t="n"/>
      <c r="IU47" s="28" t="n"/>
      <c r="IV47" s="28" t="n"/>
      <c r="IW47" s="28" t="n"/>
      <c r="IX47" s="28" t="n"/>
      <c r="IY47" s="28" t="n"/>
      <c r="IZ47" s="28" t="n"/>
      <c r="JA47" s="28" t="n"/>
      <c r="JB47" s="28" t="n"/>
      <c r="JC47" s="28" t="n"/>
      <c r="JD47" s="28" t="n"/>
      <c r="JE47" s="28" t="n"/>
      <c r="JF47" s="28" t="n"/>
      <c r="JG47" s="28" t="n"/>
      <c r="JH47" s="28" t="n"/>
      <c r="JI47" s="28" t="n"/>
      <c r="JJ47" s="28" t="n"/>
      <c r="JK47" s="28" t="n"/>
      <c r="JL47" s="28" t="n"/>
      <c r="JM47" s="28" t="n"/>
      <c r="JN47" s="28" t="n"/>
      <c r="JO47" s="28" t="n"/>
      <c r="JP47" s="28" t="n"/>
      <c r="JQ47" s="28" t="n"/>
      <c r="JR47" s="28" t="n"/>
      <c r="JS47" s="28" t="n"/>
      <c r="JT47" s="28" t="n"/>
      <c r="JU47" s="28" t="n"/>
      <c r="JV47" s="28" t="n"/>
      <c r="JW47" s="28" t="n"/>
      <c r="JX47" s="28" t="n"/>
      <c r="JY47" s="28" t="n"/>
      <c r="JZ47" s="28" t="n"/>
      <c r="KA47" s="28" t="n"/>
      <c r="KB47" s="28" t="n"/>
      <c r="KC47" s="28" t="n"/>
      <c r="KD47" s="28" t="n"/>
      <c r="KE47" s="28" t="n"/>
      <c r="KF47" s="28" t="n"/>
      <c r="KG47" s="28" t="n"/>
      <c r="KH47" s="28" t="n"/>
      <c r="KI47" s="28" t="n"/>
      <c r="KJ47" s="28" t="n"/>
      <c r="KK47" s="28" t="n"/>
      <c r="KL47" s="28" t="n"/>
      <c r="KM47" s="28" t="n"/>
      <c r="KN47" s="28" t="n"/>
      <c r="KO47" s="28" t="n"/>
      <c r="KP47" s="28" t="n"/>
      <c r="KQ47" s="28" t="n"/>
      <c r="KR47" s="28" t="n"/>
      <c r="KS47" s="28" t="n"/>
      <c r="KT47" s="28" t="n"/>
      <c r="KU47" s="28" t="n"/>
      <c r="KV47" s="28" t="n"/>
      <c r="KW47" s="28" t="n"/>
      <c r="KX47" s="28" t="n"/>
    </row>
    <row r="48">
      <c r="A48" s="27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R48" s="28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  <c r="BB48" s="28" t="n"/>
      <c r="BC48" s="28" t="n"/>
      <c r="BD48" s="28" t="n"/>
      <c r="BE48" s="28" t="n"/>
      <c r="BF48" s="28" t="n"/>
      <c r="BG48" s="28" t="n"/>
      <c r="BH48" s="28" t="n"/>
      <c r="BI48" s="28" t="n"/>
      <c r="BJ48" s="28" t="n"/>
      <c r="BK48" s="28" t="n"/>
      <c r="BL48" s="28" t="n"/>
      <c r="BM48" s="28" t="n"/>
      <c r="BN48" s="28" t="n"/>
      <c r="BO48" s="28" t="n"/>
      <c r="BP48" s="28" t="n"/>
      <c r="BQ48" s="28" t="n"/>
      <c r="BR48" s="28" t="n"/>
      <c r="BS48" s="28" t="n"/>
      <c r="BT48" s="28" t="n"/>
      <c r="BU48" s="28" t="n"/>
      <c r="BV48" s="28" t="n"/>
      <c r="BW48" s="28" t="n"/>
      <c r="BX48" s="28" t="n"/>
      <c r="BY48" s="28" t="n"/>
      <c r="BZ48" s="28" t="n"/>
      <c r="CA48" s="28" t="n"/>
      <c r="CB48" s="28" t="n"/>
      <c r="CC48" s="28" t="n"/>
      <c r="CD48" s="28" t="n"/>
      <c r="CE48" s="28" t="n"/>
      <c r="CF48" s="28" t="n"/>
      <c r="CG48" s="28" t="n"/>
      <c r="CH48" s="28" t="n"/>
      <c r="CI48" s="28" t="n"/>
      <c r="CJ48" s="28" t="n"/>
      <c r="CK48" s="28" t="n"/>
      <c r="CL48" s="28" t="n"/>
      <c r="CM48" s="28" t="n"/>
      <c r="CN48" s="28" t="n"/>
      <c r="CO48" s="28" t="n"/>
      <c r="CP48" s="28" t="n"/>
      <c r="CQ48" s="28" t="n"/>
      <c r="CR48" s="28" t="n"/>
      <c r="CS48" s="28" t="n"/>
      <c r="CT48" s="28" t="n"/>
      <c r="CU48" s="28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L48" s="28" t="n"/>
      <c r="EM48" s="28" t="n"/>
      <c r="EN48" s="28" t="n"/>
      <c r="EO48" s="28" t="n"/>
      <c r="EP48" s="28" t="n"/>
      <c r="EQ48" s="28" t="n"/>
      <c r="ER48" s="28" t="n"/>
      <c r="ES48" s="28" t="n"/>
      <c r="ET48" s="28" t="n"/>
      <c r="EU48" s="28" t="n"/>
      <c r="EV48" s="28" t="n"/>
      <c r="EW48" s="28" t="n"/>
      <c r="EX48" s="28" t="n"/>
      <c r="EY48" s="28" t="n"/>
      <c r="EZ48" s="28" t="n"/>
      <c r="FA48" s="28" t="n"/>
      <c r="FB48" s="28" t="n"/>
      <c r="FC48" s="28" t="n"/>
      <c r="FD48" s="28" t="n"/>
      <c r="FE48" s="28" t="n"/>
      <c r="FF48" s="28" t="n"/>
      <c r="FG48" s="28" t="n"/>
      <c r="FH48" s="28" t="n"/>
      <c r="FI48" s="28" t="n"/>
      <c r="FJ48" s="28" t="n"/>
      <c r="FK48" s="28" t="n"/>
      <c r="FL48" s="28" t="n"/>
      <c r="FM48" s="28" t="n"/>
      <c r="FN48" s="28" t="n"/>
      <c r="FO48" s="28" t="n"/>
      <c r="FP48" s="28" t="n"/>
      <c r="FQ48" s="28" t="n"/>
      <c r="FR48" s="28" t="n"/>
      <c r="FS48" s="28" t="n"/>
      <c r="FT48" s="28" t="n"/>
      <c r="FU48" s="28" t="n"/>
      <c r="FV48" s="28" t="n"/>
      <c r="FW48" s="28" t="n"/>
      <c r="FX48" s="28" t="n"/>
      <c r="FY48" s="28" t="n"/>
      <c r="FZ48" s="28" t="n"/>
      <c r="GA48" s="28" t="n"/>
      <c r="GB48" s="28" t="n"/>
      <c r="GC48" s="28" t="n"/>
      <c r="GD48" s="28" t="n"/>
      <c r="GE48" s="28" t="n"/>
      <c r="GF48" s="28" t="n"/>
      <c r="GG48" s="28" t="n"/>
      <c r="GH48" s="28" t="n"/>
      <c r="GI48" s="28" t="n"/>
      <c r="GJ48" s="28" t="n"/>
      <c r="GK48" s="28" t="n"/>
      <c r="GL48" s="28" t="n"/>
      <c r="GM48" s="28" t="n"/>
      <c r="GN48" s="28" t="n"/>
      <c r="GO48" s="28" t="n"/>
      <c r="GP48" s="28" t="n"/>
      <c r="GQ48" s="28" t="n"/>
      <c r="GR48" s="28" t="n"/>
      <c r="GS48" s="28" t="n"/>
      <c r="GT48" s="28" t="n"/>
      <c r="GU48" s="28" t="n"/>
      <c r="GV48" s="28" t="n"/>
      <c r="GW48" s="28" t="n"/>
      <c r="GX48" s="28" t="n"/>
      <c r="GY48" s="28" t="n"/>
      <c r="GZ48" s="28" t="n"/>
      <c r="HA48" s="28" t="n"/>
      <c r="HB48" s="28" t="n"/>
      <c r="HC48" s="28" t="n"/>
      <c r="HD48" s="28" t="n"/>
      <c r="HE48" s="28" t="n"/>
      <c r="HF48" s="28" t="n"/>
      <c r="HG48" s="28" t="n"/>
      <c r="HH48" s="28" t="n"/>
      <c r="HI48" s="28" t="n"/>
      <c r="HJ48" s="28" t="n"/>
      <c r="HK48" s="28" t="n"/>
      <c r="HL48" s="28" t="n"/>
      <c r="HM48" s="28" t="n"/>
      <c r="HN48" s="28" t="n"/>
      <c r="HO48" s="28" t="n"/>
      <c r="HP48" s="28" t="n"/>
      <c r="HQ48" s="28" t="n"/>
      <c r="HR48" s="28" t="n"/>
      <c r="HS48" s="28" t="n"/>
      <c r="HT48" s="28" t="n"/>
      <c r="HU48" s="28" t="n"/>
      <c r="HV48" s="28" t="n"/>
      <c r="HW48" s="28" t="n"/>
      <c r="HX48" s="28" t="n"/>
      <c r="HY48" s="28" t="n"/>
      <c r="HZ48" s="28" t="n"/>
      <c r="IA48" s="28" t="n"/>
      <c r="IB48" s="28" t="n"/>
      <c r="IC48" s="28" t="n"/>
      <c r="ID48" s="28" t="n"/>
      <c r="IE48" s="28" t="n"/>
      <c r="IF48" s="28" t="n"/>
      <c r="IG48" s="28" t="n"/>
      <c r="IH48" s="28" t="n"/>
      <c r="II48" s="28" t="n"/>
      <c r="IJ48" s="28" t="n"/>
      <c r="IK48" s="28" t="n"/>
      <c r="IL48" s="28" t="n"/>
      <c r="IM48" s="28" t="n"/>
      <c r="IN48" s="28" t="n"/>
      <c r="IO48" s="28" t="n"/>
      <c r="IP48" s="28" t="n"/>
      <c r="IQ48" s="28" t="n"/>
      <c r="IR48" s="28" t="n"/>
      <c r="IS48" s="28" t="n"/>
      <c r="IT48" s="28" t="n"/>
      <c r="IU48" s="28" t="n"/>
      <c r="IV48" s="28" t="n"/>
      <c r="IW48" s="28" t="n"/>
      <c r="IX48" s="28" t="n"/>
      <c r="IY48" s="28" t="n"/>
      <c r="IZ48" s="28" t="n"/>
      <c r="JA48" s="28" t="n"/>
      <c r="JB48" s="28" t="n"/>
      <c r="JC48" s="28" t="n"/>
      <c r="JD48" s="28" t="n"/>
      <c r="JE48" s="28" t="n"/>
      <c r="JF48" s="28" t="n"/>
      <c r="JG48" s="28" t="n"/>
      <c r="JH48" s="28" t="n"/>
      <c r="JI48" s="28" t="n"/>
      <c r="JJ48" s="28" t="n"/>
      <c r="JK48" s="28" t="n"/>
      <c r="JL48" s="28" t="n"/>
      <c r="JM48" s="28" t="n"/>
      <c r="JN48" s="28" t="n"/>
      <c r="JO48" s="28" t="n"/>
      <c r="JP48" s="28" t="n"/>
      <c r="JQ48" s="28" t="n"/>
      <c r="JR48" s="28" t="n"/>
      <c r="JS48" s="28" t="n"/>
      <c r="JT48" s="28" t="n"/>
      <c r="JU48" s="28" t="n"/>
      <c r="JV48" s="28" t="n"/>
      <c r="JW48" s="28" t="n"/>
      <c r="JX48" s="28" t="n"/>
      <c r="JY48" s="28" t="n"/>
      <c r="JZ48" s="28" t="n"/>
      <c r="KA48" s="28" t="n"/>
      <c r="KB48" s="28" t="n"/>
      <c r="KC48" s="28" t="n"/>
      <c r="KD48" s="28" t="n"/>
      <c r="KE48" s="28" t="n"/>
      <c r="KF48" s="28" t="n"/>
      <c r="KG48" s="28" t="n"/>
      <c r="KH48" s="28" t="n"/>
      <c r="KI48" s="28" t="n"/>
      <c r="KJ48" s="28" t="n"/>
      <c r="KK48" s="28" t="n"/>
      <c r="KL48" s="28" t="n"/>
      <c r="KM48" s="28" t="n"/>
      <c r="KN48" s="28" t="n"/>
      <c r="KO48" s="28" t="n"/>
      <c r="KP48" s="28" t="n"/>
      <c r="KQ48" s="28" t="n"/>
      <c r="KR48" s="28" t="n"/>
      <c r="KS48" s="28" t="n"/>
      <c r="KT48" s="28" t="n"/>
      <c r="KU48" s="28" t="n"/>
      <c r="KV48" s="28" t="n"/>
      <c r="KW48" s="28" t="n"/>
      <c r="KX48" s="28" t="n"/>
    </row>
    <row r="49">
      <c r="A49" s="27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R49" s="28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  <c r="BB49" s="28" t="n"/>
      <c r="BC49" s="28" t="n"/>
      <c r="BD49" s="28" t="n"/>
      <c r="BE49" s="28" t="n"/>
      <c r="BF49" s="28" t="n"/>
      <c r="BG49" s="28" t="n"/>
      <c r="BH49" s="28" t="n"/>
      <c r="BI49" s="28" t="n"/>
      <c r="BJ49" s="28" t="n"/>
      <c r="BK49" s="28" t="n"/>
      <c r="BL49" s="28" t="n"/>
      <c r="BM49" s="28" t="n"/>
      <c r="BN49" s="28" t="n"/>
      <c r="BO49" s="28" t="n"/>
      <c r="BP49" s="28" t="n"/>
      <c r="BQ49" s="28" t="n"/>
      <c r="BR49" s="28" t="n"/>
      <c r="BS49" s="28" t="n"/>
      <c r="BT49" s="28" t="n"/>
      <c r="BU49" s="28" t="n"/>
      <c r="BV49" s="28" t="n"/>
      <c r="BW49" s="28" t="n"/>
      <c r="BX49" s="28" t="n"/>
      <c r="BY49" s="28" t="n"/>
      <c r="BZ49" s="28" t="n"/>
      <c r="CA49" s="28" t="n"/>
      <c r="CB49" s="28" t="n"/>
      <c r="CC49" s="28" t="n"/>
      <c r="CD49" s="28" t="n"/>
      <c r="CE49" s="28" t="n"/>
      <c r="CF49" s="28" t="n"/>
      <c r="CG49" s="28" t="n"/>
      <c r="CH49" s="28" t="n"/>
      <c r="CI49" s="28" t="n"/>
      <c r="CJ49" s="28" t="n"/>
      <c r="CK49" s="28" t="n"/>
      <c r="CL49" s="28" t="n"/>
      <c r="CM49" s="28" t="n"/>
      <c r="CN49" s="28" t="n"/>
      <c r="CO49" s="28" t="n"/>
      <c r="CP49" s="28" t="n"/>
      <c r="CQ49" s="28" t="n"/>
      <c r="CR49" s="28" t="n"/>
      <c r="CS49" s="28" t="n"/>
      <c r="CT49" s="28" t="n"/>
      <c r="CU49" s="28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L49" s="28" t="n"/>
      <c r="EM49" s="28" t="n"/>
      <c r="EN49" s="28" t="n"/>
      <c r="EO49" s="28" t="n"/>
      <c r="EP49" s="28" t="n"/>
      <c r="EQ49" s="28" t="n"/>
      <c r="ER49" s="28" t="n"/>
      <c r="ES49" s="28" t="n"/>
      <c r="ET49" s="28" t="n"/>
      <c r="EU49" s="28" t="n"/>
      <c r="EV49" s="28" t="n"/>
      <c r="EW49" s="28" t="n"/>
      <c r="EX49" s="28" t="n"/>
      <c r="EY49" s="28" t="n"/>
      <c r="EZ49" s="28" t="n"/>
      <c r="FA49" s="28" t="n"/>
      <c r="FB49" s="28" t="n"/>
      <c r="FC49" s="28" t="n"/>
      <c r="FD49" s="28" t="n"/>
      <c r="FE49" s="28" t="n"/>
      <c r="FF49" s="28" t="n"/>
      <c r="FG49" s="28" t="n"/>
      <c r="FH49" s="28" t="n"/>
      <c r="FI49" s="28" t="n"/>
      <c r="FJ49" s="28" t="n"/>
      <c r="FK49" s="28" t="n"/>
      <c r="FL49" s="28" t="n"/>
      <c r="FM49" s="28" t="n"/>
      <c r="FN49" s="28" t="n"/>
      <c r="FO49" s="28" t="n"/>
      <c r="FP49" s="28" t="n"/>
      <c r="FQ49" s="28" t="n"/>
      <c r="FR49" s="28" t="n"/>
      <c r="FS49" s="28" t="n"/>
      <c r="FT49" s="28" t="n"/>
      <c r="FU49" s="28" t="n"/>
      <c r="FV49" s="28" t="n"/>
      <c r="FW49" s="28" t="n"/>
      <c r="FX49" s="28" t="n"/>
      <c r="FY49" s="28" t="n"/>
      <c r="FZ49" s="28" t="n"/>
      <c r="GA49" s="28" t="n"/>
      <c r="GB49" s="28" t="n"/>
      <c r="GC49" s="28" t="n"/>
      <c r="GD49" s="28" t="n"/>
      <c r="GE49" s="28" t="n"/>
      <c r="GF49" s="28" t="n"/>
      <c r="GG49" s="28" t="n"/>
      <c r="GH49" s="28" t="n"/>
      <c r="GI49" s="28" t="n"/>
      <c r="GJ49" s="28" t="n"/>
      <c r="GK49" s="28" t="n"/>
      <c r="GL49" s="28" t="n"/>
      <c r="GM49" s="28" t="n"/>
      <c r="GN49" s="28" t="n"/>
      <c r="GO49" s="28" t="n"/>
      <c r="GP49" s="28" t="n"/>
      <c r="GQ49" s="28" t="n"/>
      <c r="GR49" s="28" t="n"/>
      <c r="GS49" s="28" t="n"/>
      <c r="GT49" s="28" t="n"/>
      <c r="GU49" s="28" t="n"/>
      <c r="GV49" s="28" t="n"/>
      <c r="GW49" s="28" t="n"/>
      <c r="GX49" s="28" t="n"/>
      <c r="GY49" s="28" t="n"/>
      <c r="GZ49" s="28" t="n"/>
      <c r="HA49" s="28" t="n"/>
      <c r="HB49" s="28" t="n"/>
      <c r="HC49" s="28" t="n"/>
      <c r="HD49" s="28" t="n"/>
      <c r="HE49" s="28" t="n"/>
      <c r="HF49" s="28" t="n"/>
      <c r="HG49" s="28" t="n"/>
      <c r="HH49" s="28" t="n"/>
      <c r="HI49" s="28" t="n"/>
      <c r="HJ49" s="28" t="n"/>
      <c r="HK49" s="28" t="n"/>
      <c r="HL49" s="28" t="n"/>
      <c r="HM49" s="28" t="n"/>
      <c r="HN49" s="28" t="n"/>
      <c r="HO49" s="28" t="n"/>
      <c r="HP49" s="28" t="n"/>
      <c r="HQ49" s="28" t="n"/>
      <c r="HR49" s="28" t="n"/>
      <c r="HS49" s="28" t="n"/>
      <c r="HT49" s="28" t="n"/>
      <c r="HU49" s="28" t="n"/>
      <c r="HV49" s="28" t="n"/>
      <c r="HW49" s="28" t="n"/>
      <c r="HX49" s="28" t="n"/>
      <c r="HY49" s="28" t="n"/>
      <c r="HZ49" s="28" t="n"/>
      <c r="IA49" s="28" t="n"/>
      <c r="IB49" s="28" t="n"/>
      <c r="IC49" s="28" t="n"/>
      <c r="ID49" s="28" t="n"/>
      <c r="IE49" s="28" t="n"/>
      <c r="IF49" s="28" t="n"/>
      <c r="IG49" s="28" t="n"/>
      <c r="IH49" s="28" t="n"/>
      <c r="II49" s="28" t="n"/>
      <c r="IJ49" s="28" t="n"/>
      <c r="IK49" s="28" t="n"/>
      <c r="IL49" s="28" t="n"/>
      <c r="IM49" s="28" t="n"/>
      <c r="IN49" s="28" t="n"/>
      <c r="IO49" s="28" t="n"/>
      <c r="IP49" s="28" t="n"/>
      <c r="IQ49" s="28" t="n"/>
      <c r="IR49" s="28" t="n"/>
      <c r="IS49" s="28" t="n"/>
      <c r="IT49" s="28" t="n"/>
      <c r="IU49" s="28" t="n"/>
      <c r="IV49" s="28" t="n"/>
      <c r="IW49" s="28" t="n"/>
      <c r="IX49" s="28" t="n"/>
      <c r="IY49" s="28" t="n"/>
      <c r="IZ49" s="28" t="n"/>
      <c r="JA49" s="28" t="n"/>
      <c r="JB49" s="28" t="n"/>
      <c r="JC49" s="28" t="n"/>
      <c r="JD49" s="28" t="n"/>
      <c r="JE49" s="28" t="n"/>
      <c r="JF49" s="28" t="n"/>
      <c r="JG49" s="28" t="n"/>
      <c r="JH49" s="28" t="n"/>
      <c r="JI49" s="28" t="n"/>
      <c r="JJ49" s="28" t="n"/>
      <c r="JK49" s="28" t="n"/>
      <c r="JL49" s="28" t="n"/>
      <c r="JM49" s="28" t="n"/>
      <c r="JN49" s="28" t="n"/>
      <c r="JO49" s="28" t="n"/>
      <c r="JP49" s="28" t="n"/>
      <c r="JQ49" s="28" t="n"/>
      <c r="JR49" s="28" t="n"/>
      <c r="JS49" s="28" t="n"/>
      <c r="JT49" s="28" t="n"/>
      <c r="JU49" s="28" t="n"/>
      <c r="JV49" s="28" t="n"/>
      <c r="JW49" s="28" t="n"/>
      <c r="JX49" s="28" t="n"/>
      <c r="JY49" s="28" t="n"/>
      <c r="JZ49" s="28" t="n"/>
      <c r="KA49" s="28" t="n"/>
      <c r="KB49" s="28" t="n"/>
      <c r="KC49" s="28" t="n"/>
      <c r="KD49" s="28" t="n"/>
      <c r="KE49" s="28" t="n"/>
      <c r="KF49" s="28" t="n"/>
      <c r="KG49" s="28" t="n"/>
      <c r="KH49" s="28" t="n"/>
      <c r="KI49" s="28" t="n"/>
      <c r="KJ49" s="28" t="n"/>
      <c r="KK49" s="28" t="n"/>
      <c r="KL49" s="28" t="n"/>
      <c r="KM49" s="28" t="n"/>
      <c r="KN49" s="28" t="n"/>
      <c r="KO49" s="28" t="n"/>
      <c r="KP49" s="28" t="n"/>
      <c r="KQ49" s="28" t="n"/>
      <c r="KR49" s="28" t="n"/>
      <c r="KS49" s="28" t="n"/>
      <c r="KT49" s="28" t="n"/>
      <c r="KU49" s="28" t="n"/>
      <c r="KV49" s="28" t="n"/>
      <c r="KW49" s="28" t="n"/>
      <c r="KX49" s="28" t="n"/>
    </row>
    <row r="50">
      <c r="A50" s="27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R50" s="28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  <c r="BB50" s="28" t="n"/>
      <c r="BC50" s="28" t="n"/>
      <c r="BD50" s="28" t="n"/>
      <c r="BE50" s="28" t="n"/>
      <c r="BF50" s="28" t="n"/>
      <c r="BG50" s="28" t="n"/>
      <c r="BH50" s="28" t="n"/>
      <c r="BI50" s="28" t="n"/>
      <c r="BJ50" s="28" t="n"/>
      <c r="BK50" s="28" t="n"/>
      <c r="BL50" s="28" t="n"/>
      <c r="BM50" s="28" t="n"/>
      <c r="BN50" s="28" t="n"/>
      <c r="BO50" s="28" t="n"/>
      <c r="BP50" s="28" t="n"/>
      <c r="BQ50" s="28" t="n"/>
      <c r="BR50" s="28" t="n"/>
      <c r="BS50" s="28" t="n"/>
      <c r="BT50" s="28" t="n"/>
      <c r="BU50" s="28" t="n"/>
      <c r="BV50" s="28" t="n"/>
      <c r="BW50" s="28" t="n"/>
      <c r="BX50" s="28" t="n"/>
      <c r="BY50" s="28" t="n"/>
      <c r="BZ50" s="28" t="n"/>
      <c r="CA50" s="28" t="n"/>
      <c r="CB50" s="28" t="n"/>
      <c r="CC50" s="28" t="n"/>
      <c r="CD50" s="28" t="n"/>
      <c r="CE50" s="28" t="n"/>
      <c r="CF50" s="28" t="n"/>
      <c r="CG50" s="28" t="n"/>
      <c r="CH50" s="28" t="n"/>
      <c r="CI50" s="28" t="n"/>
      <c r="CJ50" s="28" t="n"/>
      <c r="CK50" s="28" t="n"/>
      <c r="CL50" s="28" t="n"/>
      <c r="CM50" s="28" t="n"/>
      <c r="CN50" s="28" t="n"/>
      <c r="CO50" s="28" t="n"/>
      <c r="CP50" s="28" t="n"/>
      <c r="CQ50" s="28" t="n"/>
      <c r="CR50" s="28" t="n"/>
      <c r="CS50" s="28" t="n"/>
      <c r="CT50" s="28" t="n"/>
      <c r="CU50" s="28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L50" s="28" t="n"/>
      <c r="EM50" s="28" t="n"/>
      <c r="EN50" s="28" t="n"/>
      <c r="EO50" s="28" t="n"/>
      <c r="EP50" s="28" t="n"/>
      <c r="EQ50" s="28" t="n"/>
      <c r="ER50" s="28" t="n"/>
      <c r="ES50" s="28" t="n"/>
      <c r="ET50" s="28" t="n"/>
      <c r="EU50" s="28" t="n"/>
      <c r="EV50" s="28" t="n"/>
      <c r="EW50" s="28" t="n"/>
      <c r="EX50" s="28" t="n"/>
      <c r="EY50" s="28" t="n"/>
      <c r="EZ50" s="28" t="n"/>
      <c r="FA50" s="28" t="n"/>
      <c r="FB50" s="28" t="n"/>
      <c r="FC50" s="28" t="n"/>
      <c r="FD50" s="28" t="n"/>
      <c r="FE50" s="28" t="n"/>
      <c r="FF50" s="28" t="n"/>
      <c r="FG50" s="28" t="n"/>
      <c r="FH50" s="28" t="n"/>
      <c r="FI50" s="28" t="n"/>
      <c r="FJ50" s="28" t="n"/>
      <c r="FK50" s="28" t="n"/>
      <c r="FL50" s="28" t="n"/>
      <c r="FM50" s="28" t="n"/>
      <c r="FN50" s="28" t="n"/>
      <c r="FO50" s="28" t="n"/>
      <c r="FP50" s="28" t="n"/>
      <c r="FQ50" s="28" t="n"/>
      <c r="FR50" s="28" t="n"/>
      <c r="FS50" s="28" t="n"/>
      <c r="FT50" s="28" t="n"/>
      <c r="FU50" s="28" t="n"/>
      <c r="FV50" s="28" t="n"/>
      <c r="FW50" s="28" t="n"/>
      <c r="FX50" s="28" t="n"/>
      <c r="FY50" s="28" t="n"/>
      <c r="FZ50" s="28" t="n"/>
      <c r="GA50" s="28" t="n"/>
      <c r="GB50" s="28" t="n"/>
      <c r="GC50" s="28" t="n"/>
      <c r="GD50" s="28" t="n"/>
      <c r="GE50" s="28" t="n"/>
      <c r="GF50" s="28" t="n"/>
      <c r="GG50" s="28" t="n"/>
      <c r="GH50" s="28" t="n"/>
      <c r="GI50" s="28" t="n"/>
      <c r="GJ50" s="28" t="n"/>
      <c r="GK50" s="28" t="n"/>
      <c r="GL50" s="28" t="n"/>
      <c r="GM50" s="28" t="n"/>
      <c r="GN50" s="28" t="n"/>
      <c r="GO50" s="28" t="n"/>
      <c r="GP50" s="28" t="n"/>
      <c r="GQ50" s="28" t="n"/>
      <c r="GR50" s="28" t="n"/>
      <c r="GS50" s="28" t="n"/>
      <c r="GT50" s="28" t="n"/>
      <c r="GU50" s="28" t="n"/>
      <c r="GV50" s="28" t="n"/>
      <c r="GW50" s="28" t="n"/>
      <c r="GX50" s="28" t="n"/>
      <c r="GY50" s="28" t="n"/>
      <c r="GZ50" s="28" t="n"/>
      <c r="HA50" s="28" t="n"/>
      <c r="HB50" s="28" t="n"/>
      <c r="HC50" s="28" t="n"/>
      <c r="HD50" s="28" t="n"/>
      <c r="HE50" s="28" t="n"/>
      <c r="HF50" s="28" t="n"/>
      <c r="HG50" s="28" t="n"/>
      <c r="HH50" s="28" t="n"/>
      <c r="HI50" s="28" t="n"/>
      <c r="HJ50" s="28" t="n"/>
      <c r="HK50" s="28" t="n"/>
      <c r="HL50" s="28" t="n"/>
      <c r="HM50" s="28" t="n"/>
      <c r="HN50" s="28" t="n"/>
      <c r="HO50" s="28" t="n"/>
      <c r="HP50" s="28" t="n"/>
      <c r="HQ50" s="28" t="n"/>
      <c r="HR50" s="28" t="n"/>
      <c r="HS50" s="28" t="n"/>
      <c r="HT50" s="28" t="n"/>
      <c r="HU50" s="28" t="n"/>
      <c r="HV50" s="28" t="n"/>
      <c r="HW50" s="28" t="n"/>
      <c r="HX50" s="28" t="n"/>
      <c r="HY50" s="28" t="n"/>
      <c r="HZ50" s="28" t="n"/>
      <c r="IA50" s="28" t="n"/>
      <c r="IB50" s="28" t="n"/>
      <c r="IC50" s="28" t="n"/>
      <c r="ID50" s="28" t="n"/>
      <c r="IE50" s="28" t="n"/>
      <c r="IF50" s="28" t="n"/>
      <c r="IG50" s="28" t="n"/>
      <c r="IH50" s="28" t="n"/>
      <c r="II50" s="28" t="n"/>
      <c r="IJ50" s="28" t="n"/>
      <c r="IK50" s="28" t="n"/>
      <c r="IL50" s="28" t="n"/>
      <c r="IM50" s="28" t="n"/>
      <c r="IN50" s="28" t="n"/>
      <c r="IO50" s="28" t="n"/>
      <c r="IP50" s="28" t="n"/>
      <c r="IQ50" s="28" t="n"/>
      <c r="IR50" s="28" t="n"/>
      <c r="IS50" s="28" t="n"/>
      <c r="IT50" s="28" t="n"/>
      <c r="IU50" s="28" t="n"/>
      <c r="IV50" s="28" t="n"/>
      <c r="IW50" s="28" t="n"/>
      <c r="IX50" s="28" t="n"/>
      <c r="IY50" s="28" t="n"/>
      <c r="IZ50" s="28" t="n"/>
      <c r="JA50" s="28" t="n"/>
      <c r="JB50" s="28" t="n"/>
      <c r="JC50" s="28" t="n"/>
      <c r="JD50" s="28" t="n"/>
      <c r="JE50" s="28" t="n"/>
      <c r="JF50" s="28" t="n"/>
      <c r="JG50" s="28" t="n"/>
      <c r="JH50" s="28" t="n"/>
      <c r="JI50" s="28" t="n"/>
      <c r="JJ50" s="28" t="n"/>
      <c r="JK50" s="28" t="n"/>
      <c r="JL50" s="28" t="n"/>
      <c r="JM50" s="28" t="n"/>
      <c r="JN50" s="28" t="n"/>
      <c r="JO50" s="28" t="n"/>
      <c r="JP50" s="28" t="n"/>
      <c r="JQ50" s="28" t="n"/>
      <c r="JR50" s="28" t="n"/>
      <c r="JS50" s="28" t="n"/>
      <c r="JT50" s="28" t="n"/>
      <c r="JU50" s="28" t="n"/>
      <c r="JV50" s="28" t="n"/>
      <c r="JW50" s="28" t="n"/>
      <c r="JX50" s="28" t="n"/>
      <c r="JY50" s="28" t="n"/>
      <c r="JZ50" s="28" t="n"/>
      <c r="KA50" s="28" t="n"/>
      <c r="KB50" s="28" t="n"/>
      <c r="KC50" s="28" t="n"/>
      <c r="KD50" s="28" t="n"/>
      <c r="KE50" s="28" t="n"/>
      <c r="KF50" s="28" t="n"/>
      <c r="KG50" s="28" t="n"/>
      <c r="KH50" s="28" t="n"/>
      <c r="KI50" s="28" t="n"/>
      <c r="KJ50" s="28" t="n"/>
      <c r="KK50" s="28" t="n"/>
      <c r="KL50" s="28" t="n"/>
      <c r="KM50" s="28" t="n"/>
      <c r="KN50" s="28" t="n"/>
      <c r="KO50" s="28" t="n"/>
      <c r="KP50" s="28" t="n"/>
      <c r="KQ50" s="28" t="n"/>
      <c r="KR50" s="28" t="n"/>
      <c r="KS50" s="28" t="n"/>
      <c r="KT50" s="28" t="n"/>
      <c r="KU50" s="28" t="n"/>
      <c r="KV50" s="28" t="n"/>
      <c r="KW50" s="28" t="n"/>
      <c r="KX50" s="28" t="n"/>
    </row>
  </sheetData>
  <mergeCells count="24">
    <mergeCell ref="IF1:IS1"/>
    <mergeCell ref="BF1:BS1"/>
    <mergeCell ref="HD1:HQ1"/>
    <mergeCell ref="P1:AC1"/>
    <mergeCell ref="HR1:IE1"/>
    <mergeCell ref="FN1:GA1"/>
    <mergeCell ref="DX1:EK1"/>
    <mergeCell ref="AD1:AQ1"/>
    <mergeCell ref="GB1:GO1"/>
    <mergeCell ref="CH1:CU1"/>
    <mergeCell ref="B1:O1"/>
    <mergeCell ref="CV1:DI1"/>
    <mergeCell ref="EL1:EY1"/>
    <mergeCell ref="JV1:KI1"/>
    <mergeCell ref="EZ1:FM1"/>
    <mergeCell ref="GP1:HC1"/>
    <mergeCell ref="KJ1:KW1"/>
    <mergeCell ref="JH1:JU1"/>
    <mergeCell ref="DJ1:DW1"/>
    <mergeCell ref="KX1:KY1"/>
    <mergeCell ref="IT1:JG1"/>
    <mergeCell ref="BT1:CG1"/>
    <mergeCell ref="AR1:BE1"/>
    <mergeCell ref="A1:A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theme="5" tint="0.5999938962981048"/>
    <outlinePr summaryBelow="1" summaryRight="1"/>
    <pageSetUpPr/>
  </sheetPr>
  <dimension ref="A1:KZ51"/>
  <sheetViews>
    <sheetView zoomScale="85" zoomScaleNormal="85" workbookViewId="0">
      <pane xSplit="1" ySplit="2" topLeftCell="B15" activePane="bottomRight" state="frozen"/>
      <selection pane="bottomRight" activeCell="A1" sqref="A1:O144"/>
      <selection pane="bottomLeft" activeCell="A1" sqref="A1:O144"/>
      <selection pane="topRight" activeCell="A1" sqref="A1:O144"/>
    </sheetView>
  </sheetViews>
  <sheetFormatPr baseColWidth="8" defaultRowHeight="14.25"/>
  <cols>
    <col width="65" bestFit="1" customWidth="1" style="29" min="1" max="1"/>
    <col width="3.875" bestFit="1" customWidth="1" style="30" min="2" max="13"/>
    <col width="6.875" bestFit="1" customWidth="1" style="31" min="14" max="14"/>
    <col width="9.125" bestFit="1" customWidth="1" style="702" min="15" max="15"/>
    <col width="3.875" bestFit="1" customWidth="1" style="30" min="16" max="27"/>
    <col width="5.875" bestFit="1" customWidth="1" style="31" min="28" max="28"/>
    <col width="8.875" bestFit="1" customWidth="1" style="31" min="29" max="29"/>
    <col width="3.875" bestFit="1" customWidth="1" style="33" min="30" max="41"/>
    <col width="5.875" bestFit="1" customWidth="1" style="702" min="42" max="42"/>
    <col width="8.875" customWidth="1" style="702" min="43" max="43"/>
    <col width="3.875" bestFit="1" customWidth="1" style="30" min="44" max="55"/>
    <col width="5.875" bestFit="1" customWidth="1" style="31" min="56" max="56"/>
    <col width="8.875" bestFit="1" customWidth="1" style="31" min="57" max="57"/>
    <col width="3.875" bestFit="1" customWidth="1" style="30" min="58" max="69"/>
    <col width="5.875" bestFit="1" customWidth="1" style="31" min="70" max="70"/>
    <col width="8.875" bestFit="1" customWidth="1" style="31" min="71" max="71"/>
    <col width="3.875" bestFit="1" customWidth="1" style="30" min="72" max="83"/>
    <col width="5.875" bestFit="1" customWidth="1" style="31" min="84" max="84"/>
    <col width="8.875" bestFit="1" customWidth="1" style="31" min="85" max="85"/>
    <col width="3.875" bestFit="1" customWidth="1" style="30" min="86" max="97"/>
    <col width="5.875" bestFit="1" customWidth="1" style="31" min="98" max="98"/>
    <col width="8.875" bestFit="1" customWidth="1" style="31" min="99" max="99"/>
    <col width="3.875" bestFit="1" customWidth="1" style="33" min="100" max="111"/>
    <col width="5.875" bestFit="1" customWidth="1" style="702" min="112" max="112"/>
    <col width="8.875" bestFit="1" customWidth="1" style="702" min="113" max="113"/>
    <col width="3.875" bestFit="1" customWidth="1" style="33" min="114" max="125"/>
    <col width="5.875" bestFit="1" customWidth="1" style="702" min="126" max="126"/>
    <col width="8.75" customWidth="1" style="702" min="127" max="127"/>
    <col width="3.75" customWidth="1" style="33" min="128" max="139"/>
    <col width="5.875" bestFit="1" customWidth="1" style="702" min="140" max="140"/>
    <col width="8.875" bestFit="1" customWidth="1" style="702" min="141" max="141"/>
    <col width="3.875" bestFit="1" customWidth="1" style="66" min="142" max="143"/>
    <col width="3.875" bestFit="1" customWidth="1" style="30" min="144" max="153"/>
    <col width="5.875" bestFit="1" customWidth="1" style="31" min="154" max="154"/>
    <col width="8.875" bestFit="1" customWidth="1" style="31" min="155" max="155"/>
    <col width="3.875" bestFit="1" customWidth="1" style="30" min="156" max="167"/>
    <col width="5.875" bestFit="1" customWidth="1" style="31" min="168" max="168"/>
    <col width="8.875" bestFit="1" customWidth="1" style="31" min="169" max="169"/>
    <col width="3.875" bestFit="1" customWidth="1" style="30" min="170" max="181"/>
    <col width="5.875" bestFit="1" customWidth="1" style="31" min="182" max="182"/>
    <col width="8.875" bestFit="1" customWidth="1" style="31" min="183" max="183"/>
    <col width="3.875" bestFit="1" customWidth="1" style="30" min="184" max="195"/>
    <col width="5.875" bestFit="1" customWidth="1" style="31" min="196" max="196"/>
    <col width="8.875" bestFit="1" customWidth="1" style="31" min="197" max="197"/>
    <col width="3.875" bestFit="1" customWidth="1" style="30" min="198" max="207"/>
    <col width="3.875" customWidth="1" style="30" min="208" max="208"/>
    <col width="3.875" bestFit="1" customWidth="1" style="30" min="209" max="209"/>
    <col width="5.875" bestFit="1" customWidth="1" style="31" min="210" max="210"/>
    <col width="8.875" bestFit="1" customWidth="1" style="31" min="211" max="211"/>
    <col width="3.875" bestFit="1" customWidth="1" style="30" min="212" max="223"/>
    <col width="5.875" bestFit="1" customWidth="1" style="31" min="224" max="224"/>
    <col width="8.875" bestFit="1" customWidth="1" style="31" min="225" max="225"/>
    <col width="3.875" bestFit="1" customWidth="1" style="30" min="226" max="237"/>
    <col width="5.875" bestFit="1" customWidth="1" style="31" min="238" max="238"/>
    <col width="8.875" bestFit="1" customWidth="1" style="31" min="239" max="239"/>
    <col width="3.875" bestFit="1" customWidth="1" style="30" min="240" max="251"/>
    <col width="5.875" bestFit="1" customWidth="1" style="31" min="252" max="252"/>
    <col width="8.875" bestFit="1" customWidth="1" style="31" min="253" max="253"/>
    <col width="3.875" bestFit="1" customWidth="1" style="30" min="254" max="264"/>
    <col width="4.5" customWidth="1" style="30" min="265" max="265"/>
    <col width="5.875" bestFit="1" customWidth="1" style="31" min="266" max="266"/>
    <col width="8.875" bestFit="1" customWidth="1" style="31" min="267" max="267"/>
    <col width="3.875" bestFit="1" customWidth="1" style="30" min="268" max="278"/>
    <col width="4.5" customWidth="1" style="30" min="279" max="279"/>
    <col width="5.875" bestFit="1" customWidth="1" style="31" min="280" max="280"/>
    <col width="8.875" bestFit="1" customWidth="1" style="31" min="281" max="281"/>
    <col width="3.875" bestFit="1" customWidth="1" style="30" min="282" max="293"/>
    <col width="5.875" bestFit="1" customWidth="1" style="31" min="294" max="294"/>
    <col width="8.875" bestFit="1" customWidth="1" style="31" min="295" max="295"/>
    <col width="3.875" bestFit="1" customWidth="1" style="30" min="296" max="307"/>
    <col width="5.875" bestFit="1" customWidth="1" style="31" min="308" max="308"/>
    <col width="8.875" bestFit="1" customWidth="1" style="31" min="309" max="309"/>
    <col width="8.875" customWidth="1" style="31" min="310" max="310"/>
  </cols>
  <sheetData>
    <row r="1" ht="15.6" customFormat="1" customHeight="1" s="10">
      <c r="A1" s="794" t="inlineStr">
        <is>
          <t>เหตุผลที่หยุดพัฒนา "นอกแผน"</t>
        </is>
      </c>
      <c r="B1" s="865" t="inlineStr">
        <is>
          <t>PMA02</t>
        </is>
      </c>
      <c r="C1" s="825" t="n"/>
      <c r="D1" s="825" t="n"/>
      <c r="E1" s="825" t="n"/>
      <c r="F1" s="825" t="n"/>
      <c r="G1" s="825" t="n"/>
      <c r="H1" s="825" t="n"/>
      <c r="I1" s="825" t="n"/>
      <c r="J1" s="825" t="n"/>
      <c r="K1" s="825" t="n"/>
      <c r="L1" s="825" t="n"/>
      <c r="M1" s="825" t="n"/>
      <c r="N1" s="825" t="n"/>
      <c r="O1" s="822" t="n"/>
      <c r="P1" s="865" t="inlineStr">
        <is>
          <t>PMA08</t>
        </is>
      </c>
      <c r="Q1" s="825" t="n"/>
      <c r="R1" s="825" t="n"/>
      <c r="S1" s="825" t="n"/>
      <c r="T1" s="825" t="n"/>
      <c r="U1" s="825" t="n"/>
      <c r="V1" s="825" t="n"/>
      <c r="W1" s="825" t="n"/>
      <c r="X1" s="825" t="n"/>
      <c r="Y1" s="825" t="n"/>
      <c r="Z1" s="825" t="n"/>
      <c r="AA1" s="825" t="n"/>
      <c r="AB1" s="825" t="n"/>
      <c r="AC1" s="822" t="n"/>
      <c r="AD1" s="865" t="inlineStr">
        <is>
          <t>PMA22 ข้าวเหนียว</t>
        </is>
      </c>
      <c r="AE1" s="825" t="n"/>
      <c r="AF1" s="825" t="n"/>
      <c r="AG1" s="825" t="n"/>
      <c r="AH1" s="825" t="n"/>
      <c r="AI1" s="825" t="n"/>
      <c r="AJ1" s="825" t="n"/>
      <c r="AK1" s="825" t="n"/>
      <c r="AL1" s="825" t="n"/>
      <c r="AM1" s="825" t="n"/>
      <c r="AN1" s="825" t="n"/>
      <c r="AO1" s="825" t="n"/>
      <c r="AP1" s="825" t="n"/>
      <c r="AQ1" s="822" t="n"/>
      <c r="AR1" s="865" t="inlineStr">
        <is>
          <t>PMA24</t>
        </is>
      </c>
      <c r="AS1" s="825" t="n"/>
      <c r="AT1" s="825" t="n"/>
      <c r="AU1" s="825" t="n"/>
      <c r="AV1" s="825" t="n"/>
      <c r="AW1" s="825" t="n"/>
      <c r="AX1" s="825" t="n"/>
      <c r="AY1" s="825" t="n"/>
      <c r="AZ1" s="825" t="n"/>
      <c r="BA1" s="825" t="n"/>
      <c r="BB1" s="825" t="n"/>
      <c r="BC1" s="825" t="n"/>
      <c r="BD1" s="825" t="n"/>
      <c r="BE1" s="822" t="n"/>
      <c r="BF1" s="865" t="inlineStr">
        <is>
          <t>PMA16</t>
        </is>
      </c>
      <c r="BG1" s="825" t="n"/>
      <c r="BH1" s="825" t="n"/>
      <c r="BI1" s="825" t="n"/>
      <c r="BJ1" s="825" t="n"/>
      <c r="BK1" s="825" t="n"/>
      <c r="BL1" s="825" t="n"/>
      <c r="BM1" s="825" t="n"/>
      <c r="BN1" s="825" t="n"/>
      <c r="BO1" s="825" t="n"/>
      <c r="BP1" s="825" t="n"/>
      <c r="BQ1" s="825" t="n"/>
      <c r="BR1" s="825" t="n"/>
      <c r="BS1" s="822" t="n"/>
      <c r="BT1" s="865" t="inlineStr">
        <is>
          <t>PMA19 ข้าวปั้น</t>
        </is>
      </c>
      <c r="BU1" s="825" t="n"/>
      <c r="BV1" s="825" t="n"/>
      <c r="BW1" s="825" t="n"/>
      <c r="BX1" s="825" t="n"/>
      <c r="BY1" s="825" t="n"/>
      <c r="BZ1" s="825" t="n"/>
      <c r="CA1" s="825" t="n"/>
      <c r="CB1" s="825" t="n"/>
      <c r="CC1" s="825" t="n"/>
      <c r="CD1" s="825" t="n"/>
      <c r="CE1" s="825" t="n"/>
      <c r="CF1" s="825" t="n"/>
      <c r="CG1" s="822" t="n"/>
      <c r="CH1" s="866" t="inlineStr">
        <is>
          <t>PMA19 chilled</t>
        </is>
      </c>
      <c r="CI1" s="825" t="n"/>
      <c r="CJ1" s="825" t="n"/>
      <c r="CK1" s="825" t="n"/>
      <c r="CL1" s="825" t="n"/>
      <c r="CM1" s="825" t="n"/>
      <c r="CN1" s="825" t="n"/>
      <c r="CO1" s="825" t="n"/>
      <c r="CP1" s="825" t="n"/>
      <c r="CQ1" s="825" t="n"/>
      <c r="CR1" s="825" t="n"/>
      <c r="CS1" s="825" t="n"/>
      <c r="CT1" s="825" t="n"/>
      <c r="CU1" s="822" t="n"/>
      <c r="CV1" s="865" t="inlineStr">
        <is>
          <t>PMA19 โครงการพิเศษ</t>
        </is>
      </c>
      <c r="CW1" s="825" t="n"/>
      <c r="CX1" s="825" t="n"/>
      <c r="CY1" s="825" t="n"/>
      <c r="CZ1" s="825" t="n"/>
      <c r="DA1" s="825" t="n"/>
      <c r="DB1" s="825" t="n"/>
      <c r="DC1" s="825" t="n"/>
      <c r="DD1" s="825" t="n"/>
      <c r="DE1" s="825" t="n"/>
      <c r="DF1" s="825" t="n"/>
      <c r="DG1" s="825" t="n"/>
      <c r="DH1" s="825" t="n"/>
      <c r="DI1" s="822" t="n"/>
      <c r="DJ1" s="865" t="inlineStr">
        <is>
          <t>PMA22 ข้าว Chilled</t>
        </is>
      </c>
      <c r="DK1" s="825" t="n"/>
      <c r="DL1" s="825" t="n"/>
      <c r="DM1" s="825" t="n"/>
      <c r="DN1" s="825" t="n"/>
      <c r="DO1" s="825" t="n"/>
      <c r="DP1" s="825" t="n"/>
      <c r="DQ1" s="825" t="n"/>
      <c r="DR1" s="825" t="n"/>
      <c r="DS1" s="825" t="n"/>
      <c r="DT1" s="825" t="n"/>
      <c r="DU1" s="825" t="n"/>
      <c r="DV1" s="825" t="n"/>
      <c r="DW1" s="822" t="n"/>
      <c r="DX1" s="865" t="inlineStr">
        <is>
          <t>PMA22 โครงการพิเศษ</t>
        </is>
      </c>
      <c r="DY1" s="825" t="n"/>
      <c r="DZ1" s="825" t="n"/>
      <c r="EA1" s="825" t="n"/>
      <c r="EB1" s="825" t="n"/>
      <c r="EC1" s="825" t="n"/>
      <c r="ED1" s="825" t="n"/>
      <c r="EE1" s="825" t="n"/>
      <c r="EF1" s="825" t="n"/>
      <c r="EG1" s="825" t="n"/>
      <c r="EH1" s="825" t="n"/>
      <c r="EI1" s="825" t="n"/>
      <c r="EJ1" s="825" t="n"/>
      <c r="EK1" s="822" t="n"/>
      <c r="EL1" s="865" t="inlineStr">
        <is>
          <t>PMA20 ข้าวFrozen</t>
        </is>
      </c>
      <c r="EM1" s="825" t="n"/>
      <c r="EN1" s="825" t="n"/>
      <c r="EO1" s="825" t="n"/>
      <c r="EP1" s="825" t="n"/>
      <c r="EQ1" s="825" t="n"/>
      <c r="ER1" s="825" t="n"/>
      <c r="ES1" s="825" t="n"/>
      <c r="ET1" s="825" t="n"/>
      <c r="EU1" s="825" t="n"/>
      <c r="EV1" s="825" t="n"/>
      <c r="EW1" s="825" t="n"/>
      <c r="EX1" s="825" t="n"/>
      <c r="EY1" s="822" t="n"/>
      <c r="EZ1" s="867" t="inlineStr">
        <is>
          <t>PMA20 เกี๊ยว</t>
        </is>
      </c>
      <c r="FA1" s="825" t="n"/>
      <c r="FB1" s="825" t="n"/>
      <c r="FC1" s="825" t="n"/>
      <c r="FD1" s="825" t="n"/>
      <c r="FE1" s="825" t="n"/>
      <c r="FF1" s="825" t="n"/>
      <c r="FG1" s="825" t="n"/>
      <c r="FH1" s="825" t="n"/>
      <c r="FI1" s="825" t="n"/>
      <c r="FJ1" s="825" t="n"/>
      <c r="FK1" s="825" t="n"/>
      <c r="FL1" s="825" t="n"/>
      <c r="FM1" s="822" t="n"/>
      <c r="FN1" s="867" t="inlineStr">
        <is>
          <t>PMA20 ทอด</t>
        </is>
      </c>
      <c r="FO1" s="825" t="n"/>
      <c r="FP1" s="825" t="n"/>
      <c r="FQ1" s="825" t="n"/>
      <c r="FR1" s="825" t="n"/>
      <c r="FS1" s="825" t="n"/>
      <c r="FT1" s="825" t="n"/>
      <c r="FU1" s="825" t="n"/>
      <c r="FV1" s="825" t="n"/>
      <c r="FW1" s="825" t="n"/>
      <c r="FX1" s="825" t="n"/>
      <c r="FY1" s="825" t="n"/>
      <c r="FZ1" s="825" t="n"/>
      <c r="GA1" s="822" t="n"/>
      <c r="GB1" s="867" t="inlineStr">
        <is>
          <t>PMA06 ทอด</t>
        </is>
      </c>
      <c r="GC1" s="825" t="n"/>
      <c r="GD1" s="825" t="n"/>
      <c r="GE1" s="825" t="n"/>
      <c r="GF1" s="825" t="n"/>
      <c r="GG1" s="825" t="n"/>
      <c r="GH1" s="825" t="n"/>
      <c r="GI1" s="825" t="n"/>
      <c r="GJ1" s="825" t="n"/>
      <c r="GK1" s="825" t="n"/>
      <c r="GL1" s="825" t="n"/>
      <c r="GM1" s="825" t="n"/>
      <c r="GN1" s="825" t="n"/>
      <c r="GO1" s="822" t="n"/>
      <c r="GP1" s="867" t="inlineStr">
        <is>
          <t>PMA06 โครงการพิเศษ</t>
        </is>
      </c>
      <c r="GQ1" s="825" t="n"/>
      <c r="GR1" s="825" t="n"/>
      <c r="GS1" s="825" t="n"/>
      <c r="GT1" s="825" t="n"/>
      <c r="GU1" s="825" t="n"/>
      <c r="GV1" s="825" t="n"/>
      <c r="GW1" s="825" t="n"/>
      <c r="GX1" s="825" t="n"/>
      <c r="GY1" s="825" t="n"/>
      <c r="GZ1" s="825" t="n"/>
      <c r="HA1" s="825" t="n"/>
      <c r="HB1" s="825" t="n"/>
      <c r="HC1" s="822" t="n"/>
      <c r="HD1" s="867" t="inlineStr">
        <is>
          <t>PMA76 โครงการพิเศษ</t>
        </is>
      </c>
      <c r="HE1" s="825" t="n"/>
      <c r="HF1" s="825" t="n"/>
      <c r="HG1" s="825" t="n"/>
      <c r="HH1" s="825" t="n"/>
      <c r="HI1" s="825" t="n"/>
      <c r="HJ1" s="825" t="n"/>
      <c r="HK1" s="825" t="n"/>
      <c r="HL1" s="825" t="n"/>
      <c r="HM1" s="825" t="n"/>
      <c r="HN1" s="825" t="n"/>
      <c r="HO1" s="825" t="n"/>
      <c r="HP1" s="825" t="n"/>
      <c r="HQ1" s="822" t="n"/>
      <c r="HR1" s="867" t="inlineStr">
        <is>
          <t>non 7-11 โครงการพิเศษ</t>
        </is>
      </c>
      <c r="HS1" s="825" t="n"/>
      <c r="HT1" s="825" t="n"/>
      <c r="HU1" s="825" t="n"/>
      <c r="HV1" s="825" t="n"/>
      <c r="HW1" s="825" t="n"/>
      <c r="HX1" s="825" t="n"/>
      <c r="HY1" s="825" t="n"/>
      <c r="HZ1" s="825" t="n"/>
      <c r="IA1" s="825" t="n"/>
      <c r="IB1" s="825" t="n"/>
      <c r="IC1" s="825" t="n"/>
      <c r="ID1" s="825" t="n"/>
      <c r="IE1" s="822" t="n"/>
      <c r="IF1" s="868" t="inlineStr">
        <is>
          <t>ติ่มซำ non-7 ในประเทศ</t>
        </is>
      </c>
      <c r="IG1" s="825" t="n"/>
      <c r="IH1" s="825" t="n"/>
      <c r="II1" s="825" t="n"/>
      <c r="IJ1" s="825" t="n"/>
      <c r="IK1" s="825" t="n"/>
      <c r="IL1" s="825" t="n"/>
      <c r="IM1" s="825" t="n"/>
      <c r="IN1" s="825" t="n"/>
      <c r="IO1" s="825" t="n"/>
      <c r="IP1" s="825" t="n"/>
      <c r="IQ1" s="825" t="n"/>
      <c r="IR1" s="825" t="n"/>
      <c r="IS1" s="822" t="n"/>
      <c r="IT1" s="865" t="inlineStr">
        <is>
          <t>ส่งออก โครงการพิเศษ</t>
        </is>
      </c>
      <c r="IU1" s="825" t="n"/>
      <c r="IV1" s="825" t="n"/>
      <c r="IW1" s="825" t="n"/>
      <c r="IX1" s="825" t="n"/>
      <c r="IY1" s="825" t="n"/>
      <c r="IZ1" s="825" t="n"/>
      <c r="JA1" s="825" t="n"/>
      <c r="JB1" s="825" t="n"/>
      <c r="JC1" s="825" t="n"/>
      <c r="JD1" s="825" t="n"/>
      <c r="JE1" s="825" t="n"/>
      <c r="JF1" s="825" t="n"/>
      <c r="JG1" s="822" t="n"/>
      <c r="JH1" s="865" t="inlineStr">
        <is>
          <t>ส่่งออก ทีมข้าวFrozen</t>
        </is>
      </c>
      <c r="JI1" s="825" t="n"/>
      <c r="JJ1" s="825" t="n"/>
      <c r="JK1" s="825" t="n"/>
      <c r="JL1" s="825" t="n"/>
      <c r="JM1" s="825" t="n"/>
      <c r="JN1" s="825" t="n"/>
      <c r="JO1" s="825" t="n"/>
      <c r="JP1" s="825" t="n"/>
      <c r="JQ1" s="825" t="n"/>
      <c r="JR1" s="825" t="n"/>
      <c r="JS1" s="825" t="n"/>
      <c r="JT1" s="825" t="n"/>
      <c r="JU1" s="822" t="n"/>
      <c r="JV1" s="865" t="inlineStr">
        <is>
          <t>ติ่มซำส่งออก</t>
        </is>
      </c>
      <c r="JW1" s="825" t="n"/>
      <c r="JX1" s="825" t="n"/>
      <c r="JY1" s="825" t="n"/>
      <c r="JZ1" s="825" t="n"/>
      <c r="KA1" s="825" t="n"/>
      <c r="KB1" s="825" t="n"/>
      <c r="KC1" s="825" t="n"/>
      <c r="KD1" s="825" t="n"/>
      <c r="KE1" s="825" t="n"/>
      <c r="KF1" s="825" t="n"/>
      <c r="KG1" s="825" t="n"/>
      <c r="KH1" s="825" t="n"/>
      <c r="KI1" s="822" t="n"/>
      <c r="KJ1" s="865" t="inlineStr">
        <is>
          <t>Snack ส่งออก</t>
        </is>
      </c>
      <c r="KK1" s="825" t="n"/>
      <c r="KL1" s="825" t="n"/>
      <c r="KM1" s="825" t="n"/>
      <c r="KN1" s="825" t="n"/>
      <c r="KO1" s="825" t="n"/>
      <c r="KP1" s="825" t="n"/>
      <c r="KQ1" s="825" t="n"/>
      <c r="KR1" s="825" t="n"/>
      <c r="KS1" s="825" t="n"/>
      <c r="KT1" s="825" t="n"/>
      <c r="KU1" s="825" t="n"/>
      <c r="KV1" s="825" t="n"/>
      <c r="KW1" s="822" t="n"/>
      <c r="KX1" s="783" t="inlineStr">
        <is>
          <t>Total</t>
        </is>
      </c>
      <c r="KY1" s="822" t="n"/>
    </row>
    <row r="2" ht="17.1" customFormat="1" customHeight="1" s="11">
      <c r="A2" s="841" t="n"/>
      <c r="B2" s="61" t="inlineStr">
        <is>
          <t>Jan</t>
        </is>
      </c>
      <c r="C2" s="61" t="inlineStr">
        <is>
          <t>Feb</t>
        </is>
      </c>
      <c r="D2" s="61" t="inlineStr">
        <is>
          <t>Mar</t>
        </is>
      </c>
      <c r="E2" s="61" t="inlineStr">
        <is>
          <t>Apr</t>
        </is>
      </c>
      <c r="F2" s="61" t="inlineStr">
        <is>
          <t>May</t>
        </is>
      </c>
      <c r="G2" s="61" t="inlineStr">
        <is>
          <t>Jun</t>
        </is>
      </c>
      <c r="H2" s="61" t="inlineStr">
        <is>
          <t>Jul</t>
        </is>
      </c>
      <c r="I2" s="61" t="inlineStr">
        <is>
          <t>Aug</t>
        </is>
      </c>
      <c r="J2" s="61" t="inlineStr">
        <is>
          <t>Sep</t>
        </is>
      </c>
      <c r="K2" s="61" t="inlineStr">
        <is>
          <t>Oct</t>
        </is>
      </c>
      <c r="L2" s="61" t="inlineStr">
        <is>
          <t>Nov</t>
        </is>
      </c>
      <c r="M2" s="61" t="inlineStr">
        <is>
          <t>Dec</t>
        </is>
      </c>
      <c r="N2" s="61" t="inlineStr">
        <is>
          <t>Total</t>
        </is>
      </c>
      <c r="O2" s="61" t="inlineStr">
        <is>
          <t>%</t>
        </is>
      </c>
      <c r="P2" s="61" t="inlineStr">
        <is>
          <t>Jan</t>
        </is>
      </c>
      <c r="Q2" s="61" t="inlineStr">
        <is>
          <t>Feb</t>
        </is>
      </c>
      <c r="R2" s="61" t="inlineStr">
        <is>
          <t>Mar</t>
        </is>
      </c>
      <c r="S2" s="61" t="inlineStr">
        <is>
          <t>Apr</t>
        </is>
      </c>
      <c r="T2" s="61" t="inlineStr">
        <is>
          <t>May</t>
        </is>
      </c>
      <c r="U2" s="61" t="inlineStr">
        <is>
          <t>Jun</t>
        </is>
      </c>
      <c r="V2" s="61" t="inlineStr">
        <is>
          <t>Jul</t>
        </is>
      </c>
      <c r="W2" s="61" t="inlineStr">
        <is>
          <t>Aug</t>
        </is>
      </c>
      <c r="X2" s="61" t="inlineStr">
        <is>
          <t>Sep</t>
        </is>
      </c>
      <c r="Y2" s="61" t="inlineStr">
        <is>
          <t>Oct</t>
        </is>
      </c>
      <c r="Z2" s="61" t="inlineStr">
        <is>
          <t>Nov</t>
        </is>
      </c>
      <c r="AA2" s="61" t="inlineStr">
        <is>
          <t>Dec</t>
        </is>
      </c>
      <c r="AB2" s="61" t="inlineStr">
        <is>
          <t>Total</t>
        </is>
      </c>
      <c r="AC2" s="61" t="inlineStr">
        <is>
          <t>%</t>
        </is>
      </c>
      <c r="AD2" s="61" t="inlineStr">
        <is>
          <t>Jan</t>
        </is>
      </c>
      <c r="AE2" s="61" t="inlineStr">
        <is>
          <t>Feb</t>
        </is>
      </c>
      <c r="AF2" s="61" t="inlineStr">
        <is>
          <t>Mar</t>
        </is>
      </c>
      <c r="AG2" s="61" t="inlineStr">
        <is>
          <t>Apr</t>
        </is>
      </c>
      <c r="AH2" s="61" t="inlineStr">
        <is>
          <t>May</t>
        </is>
      </c>
      <c r="AI2" s="61" t="inlineStr">
        <is>
          <t>Jun</t>
        </is>
      </c>
      <c r="AJ2" s="61" t="inlineStr">
        <is>
          <t>Jul</t>
        </is>
      </c>
      <c r="AK2" s="61" t="inlineStr">
        <is>
          <t>Aug</t>
        </is>
      </c>
      <c r="AL2" s="61" t="inlineStr">
        <is>
          <t>Sep</t>
        </is>
      </c>
      <c r="AM2" s="61" t="inlineStr">
        <is>
          <t>Oct</t>
        </is>
      </c>
      <c r="AN2" s="61" t="inlineStr">
        <is>
          <t>Nov</t>
        </is>
      </c>
      <c r="AO2" s="61" t="inlineStr">
        <is>
          <t>Dec</t>
        </is>
      </c>
      <c r="AP2" s="61" t="inlineStr">
        <is>
          <t>Total</t>
        </is>
      </c>
      <c r="AQ2" s="61" t="inlineStr">
        <is>
          <t>%</t>
        </is>
      </c>
      <c r="AR2" s="61" t="inlineStr">
        <is>
          <t>Jan</t>
        </is>
      </c>
      <c r="AS2" s="61" t="inlineStr">
        <is>
          <t>Feb</t>
        </is>
      </c>
      <c r="AT2" s="61" t="inlineStr">
        <is>
          <t>Mar</t>
        </is>
      </c>
      <c r="AU2" s="61" t="inlineStr">
        <is>
          <t>Apr</t>
        </is>
      </c>
      <c r="AV2" s="61" t="inlineStr">
        <is>
          <t>May</t>
        </is>
      </c>
      <c r="AW2" s="61" t="inlineStr">
        <is>
          <t>Jun</t>
        </is>
      </c>
      <c r="AX2" s="61" t="inlineStr">
        <is>
          <t>Jul</t>
        </is>
      </c>
      <c r="AY2" s="61" t="inlineStr">
        <is>
          <t>Aug</t>
        </is>
      </c>
      <c r="AZ2" s="61" t="inlineStr">
        <is>
          <t>Sep</t>
        </is>
      </c>
      <c r="BA2" s="61" t="inlineStr">
        <is>
          <t>Oct</t>
        </is>
      </c>
      <c r="BB2" s="61" t="inlineStr">
        <is>
          <t>Nov</t>
        </is>
      </c>
      <c r="BC2" s="61" t="inlineStr">
        <is>
          <t>Dec</t>
        </is>
      </c>
      <c r="BD2" s="61" t="inlineStr">
        <is>
          <t>Total</t>
        </is>
      </c>
      <c r="BE2" s="61" t="inlineStr">
        <is>
          <t>%</t>
        </is>
      </c>
      <c r="BF2" s="61" t="inlineStr">
        <is>
          <t>Jan</t>
        </is>
      </c>
      <c r="BG2" s="61" t="inlineStr">
        <is>
          <t>Feb</t>
        </is>
      </c>
      <c r="BH2" s="61" t="inlineStr">
        <is>
          <t>Mar</t>
        </is>
      </c>
      <c r="BI2" s="61" t="inlineStr">
        <is>
          <t>Apr</t>
        </is>
      </c>
      <c r="BJ2" s="61" t="inlineStr">
        <is>
          <t>May</t>
        </is>
      </c>
      <c r="BK2" s="61" t="inlineStr">
        <is>
          <t>Jun</t>
        </is>
      </c>
      <c r="BL2" s="61" t="inlineStr">
        <is>
          <t>Jul</t>
        </is>
      </c>
      <c r="BM2" s="61" t="inlineStr">
        <is>
          <t>Aug</t>
        </is>
      </c>
      <c r="BN2" s="61" t="inlineStr">
        <is>
          <t>Sep</t>
        </is>
      </c>
      <c r="BO2" s="61" t="inlineStr">
        <is>
          <t>Oct</t>
        </is>
      </c>
      <c r="BP2" s="61" t="inlineStr">
        <is>
          <t>Nov</t>
        </is>
      </c>
      <c r="BQ2" s="61" t="inlineStr">
        <is>
          <t>Dec</t>
        </is>
      </c>
      <c r="BR2" s="61" t="inlineStr">
        <is>
          <t>Total</t>
        </is>
      </c>
      <c r="BS2" s="61" t="inlineStr">
        <is>
          <t>%</t>
        </is>
      </c>
      <c r="BT2" s="61" t="inlineStr">
        <is>
          <t>Jan</t>
        </is>
      </c>
      <c r="BU2" s="61" t="inlineStr">
        <is>
          <t>Feb</t>
        </is>
      </c>
      <c r="BV2" s="61" t="inlineStr">
        <is>
          <t>Mar</t>
        </is>
      </c>
      <c r="BW2" s="61" t="inlineStr">
        <is>
          <t>Apr</t>
        </is>
      </c>
      <c r="BX2" s="61" t="inlineStr">
        <is>
          <t>May</t>
        </is>
      </c>
      <c r="BY2" s="61" t="inlineStr">
        <is>
          <t>Jun</t>
        </is>
      </c>
      <c r="BZ2" s="61" t="inlineStr">
        <is>
          <t>Jul</t>
        </is>
      </c>
      <c r="CA2" s="61" t="inlineStr">
        <is>
          <t>Aug</t>
        </is>
      </c>
      <c r="CB2" s="61" t="inlineStr">
        <is>
          <t>Sep</t>
        </is>
      </c>
      <c r="CC2" s="61" t="inlineStr">
        <is>
          <t>Oct</t>
        </is>
      </c>
      <c r="CD2" s="61" t="inlineStr">
        <is>
          <t>Nov</t>
        </is>
      </c>
      <c r="CE2" s="61" t="inlineStr">
        <is>
          <t>Dec</t>
        </is>
      </c>
      <c r="CF2" s="61" t="inlineStr">
        <is>
          <t>Total</t>
        </is>
      </c>
      <c r="CG2" s="61" t="inlineStr">
        <is>
          <t>%</t>
        </is>
      </c>
      <c r="CH2" s="73" t="inlineStr">
        <is>
          <t>Jan</t>
        </is>
      </c>
      <c r="CI2" s="73" t="inlineStr">
        <is>
          <t>Feb</t>
        </is>
      </c>
      <c r="CJ2" s="73" t="inlineStr">
        <is>
          <t>Mar</t>
        </is>
      </c>
      <c r="CK2" s="73" t="inlineStr">
        <is>
          <t>Apr</t>
        </is>
      </c>
      <c r="CL2" s="73" t="inlineStr">
        <is>
          <t>May</t>
        </is>
      </c>
      <c r="CM2" s="73" t="inlineStr">
        <is>
          <t>Jun</t>
        </is>
      </c>
      <c r="CN2" s="73" t="inlineStr">
        <is>
          <t>Jul</t>
        </is>
      </c>
      <c r="CO2" s="73" t="inlineStr">
        <is>
          <t>Aug</t>
        </is>
      </c>
      <c r="CP2" s="73" t="inlineStr">
        <is>
          <t>Sep</t>
        </is>
      </c>
      <c r="CQ2" s="73" t="inlineStr">
        <is>
          <t>Oct</t>
        </is>
      </c>
      <c r="CR2" s="73" t="inlineStr">
        <is>
          <t>Nov</t>
        </is>
      </c>
      <c r="CS2" s="73" t="inlineStr">
        <is>
          <t>Dec</t>
        </is>
      </c>
      <c r="CT2" s="73" t="inlineStr">
        <is>
          <t>Total</t>
        </is>
      </c>
      <c r="CU2" s="73" t="inlineStr">
        <is>
          <t>%</t>
        </is>
      </c>
      <c r="CV2" s="61" t="inlineStr">
        <is>
          <t>Jan</t>
        </is>
      </c>
      <c r="CW2" s="61" t="inlineStr">
        <is>
          <t>Feb</t>
        </is>
      </c>
      <c r="CX2" s="61" t="inlineStr">
        <is>
          <t>Mar</t>
        </is>
      </c>
      <c r="CY2" s="61" t="inlineStr">
        <is>
          <t>Apr</t>
        </is>
      </c>
      <c r="CZ2" s="61" t="inlineStr">
        <is>
          <t>May</t>
        </is>
      </c>
      <c r="DA2" s="61" t="inlineStr">
        <is>
          <t>Jun</t>
        </is>
      </c>
      <c r="DB2" s="61" t="inlineStr">
        <is>
          <t>Jul</t>
        </is>
      </c>
      <c r="DC2" s="61" t="inlineStr">
        <is>
          <t>Aug</t>
        </is>
      </c>
      <c r="DD2" s="61" t="inlineStr">
        <is>
          <t>Sep</t>
        </is>
      </c>
      <c r="DE2" s="61" t="inlineStr">
        <is>
          <t>Oct</t>
        </is>
      </c>
      <c r="DF2" s="61" t="inlineStr">
        <is>
          <t>Nov</t>
        </is>
      </c>
      <c r="DG2" s="61" t="inlineStr">
        <is>
          <t>Dec</t>
        </is>
      </c>
      <c r="DH2" s="61" t="inlineStr">
        <is>
          <t>Total</t>
        </is>
      </c>
      <c r="DI2" s="61" t="inlineStr">
        <is>
          <t>%</t>
        </is>
      </c>
      <c r="DJ2" s="61" t="inlineStr">
        <is>
          <t>Jan</t>
        </is>
      </c>
      <c r="DK2" s="61" t="inlineStr">
        <is>
          <t>Feb</t>
        </is>
      </c>
      <c r="DL2" s="61" t="inlineStr">
        <is>
          <t>Mar</t>
        </is>
      </c>
      <c r="DM2" s="61" t="inlineStr">
        <is>
          <t>Apr</t>
        </is>
      </c>
      <c r="DN2" s="61" t="inlineStr">
        <is>
          <t>May</t>
        </is>
      </c>
      <c r="DO2" s="61" t="inlineStr">
        <is>
          <t>Jun</t>
        </is>
      </c>
      <c r="DP2" s="61" t="inlineStr">
        <is>
          <t>Jul</t>
        </is>
      </c>
      <c r="DQ2" s="61" t="inlineStr">
        <is>
          <t>Aug</t>
        </is>
      </c>
      <c r="DR2" s="61" t="inlineStr">
        <is>
          <t>Sep</t>
        </is>
      </c>
      <c r="DS2" s="61" t="inlineStr">
        <is>
          <t>Oct</t>
        </is>
      </c>
      <c r="DT2" s="61" t="inlineStr">
        <is>
          <t>Nov</t>
        </is>
      </c>
      <c r="DU2" s="61" t="inlineStr">
        <is>
          <t>Dec</t>
        </is>
      </c>
      <c r="DV2" s="61" t="inlineStr">
        <is>
          <t>Total</t>
        </is>
      </c>
      <c r="DW2" s="61" t="inlineStr">
        <is>
          <t>%</t>
        </is>
      </c>
      <c r="DX2" s="61" t="inlineStr">
        <is>
          <t>Jan</t>
        </is>
      </c>
      <c r="DY2" s="61" t="inlineStr">
        <is>
          <t>Feb</t>
        </is>
      </c>
      <c r="DZ2" s="61" t="inlineStr">
        <is>
          <t>Mar</t>
        </is>
      </c>
      <c r="EA2" s="61" t="inlineStr">
        <is>
          <t>Apr</t>
        </is>
      </c>
      <c r="EB2" s="61" t="inlineStr">
        <is>
          <t>May</t>
        </is>
      </c>
      <c r="EC2" s="61" t="inlineStr">
        <is>
          <t>Jun</t>
        </is>
      </c>
      <c r="ED2" s="61" t="inlineStr">
        <is>
          <t>Jul</t>
        </is>
      </c>
      <c r="EE2" s="61" t="inlineStr">
        <is>
          <t>Aug</t>
        </is>
      </c>
      <c r="EF2" s="61" t="inlineStr">
        <is>
          <t>Sep</t>
        </is>
      </c>
      <c r="EG2" s="61" t="inlineStr">
        <is>
          <t>Oct</t>
        </is>
      </c>
      <c r="EH2" s="61" t="inlineStr">
        <is>
          <t>Nov</t>
        </is>
      </c>
      <c r="EI2" s="61" t="inlineStr">
        <is>
          <t>Dec</t>
        </is>
      </c>
      <c r="EJ2" s="61" t="inlineStr">
        <is>
          <t>Total</t>
        </is>
      </c>
      <c r="EK2" s="61" t="inlineStr">
        <is>
          <t>%</t>
        </is>
      </c>
      <c r="EL2" s="67" t="inlineStr">
        <is>
          <t>Jan</t>
        </is>
      </c>
      <c r="EM2" s="67" t="inlineStr">
        <is>
          <t>Feb</t>
        </is>
      </c>
      <c r="EN2" s="61" t="inlineStr">
        <is>
          <t>Mar</t>
        </is>
      </c>
      <c r="EO2" s="61" t="inlineStr">
        <is>
          <t>Apr</t>
        </is>
      </c>
      <c r="EP2" s="61" t="inlineStr">
        <is>
          <t>May</t>
        </is>
      </c>
      <c r="EQ2" s="61" t="inlineStr">
        <is>
          <t>Jun</t>
        </is>
      </c>
      <c r="ER2" s="61" t="inlineStr">
        <is>
          <t>Jul</t>
        </is>
      </c>
      <c r="ES2" s="61" t="inlineStr">
        <is>
          <t>Aug</t>
        </is>
      </c>
      <c r="ET2" s="61" t="inlineStr">
        <is>
          <t>Sep</t>
        </is>
      </c>
      <c r="EU2" s="61" t="inlineStr">
        <is>
          <t>Oct</t>
        </is>
      </c>
      <c r="EV2" s="61" t="inlineStr">
        <is>
          <t>Nov</t>
        </is>
      </c>
      <c r="EW2" s="61" t="inlineStr">
        <is>
          <t>Dec</t>
        </is>
      </c>
      <c r="EX2" s="61" t="inlineStr">
        <is>
          <t>Total</t>
        </is>
      </c>
      <c r="EY2" s="61" t="inlineStr">
        <is>
          <t>%</t>
        </is>
      </c>
      <c r="EZ2" s="61" t="inlineStr">
        <is>
          <t>Jan</t>
        </is>
      </c>
      <c r="FA2" s="61" t="inlineStr">
        <is>
          <t>Feb</t>
        </is>
      </c>
      <c r="FB2" s="61" t="inlineStr">
        <is>
          <t>Mar</t>
        </is>
      </c>
      <c r="FC2" s="61" t="inlineStr">
        <is>
          <t>Apr</t>
        </is>
      </c>
      <c r="FD2" s="61" t="inlineStr">
        <is>
          <t>May</t>
        </is>
      </c>
      <c r="FE2" s="61" t="inlineStr">
        <is>
          <t>Jun</t>
        </is>
      </c>
      <c r="FF2" s="61" t="inlineStr">
        <is>
          <t>Jul</t>
        </is>
      </c>
      <c r="FG2" s="61" t="inlineStr">
        <is>
          <t>Aug</t>
        </is>
      </c>
      <c r="FH2" s="61" t="inlineStr">
        <is>
          <t>Sep</t>
        </is>
      </c>
      <c r="FI2" s="61" t="inlineStr">
        <is>
          <t>Oct</t>
        </is>
      </c>
      <c r="FJ2" s="61" t="inlineStr">
        <is>
          <t>Nov</t>
        </is>
      </c>
      <c r="FK2" s="61" t="inlineStr">
        <is>
          <t>Dec</t>
        </is>
      </c>
      <c r="FL2" s="61" t="inlineStr">
        <is>
          <t>Total</t>
        </is>
      </c>
      <c r="FM2" s="61" t="inlineStr">
        <is>
          <t>%</t>
        </is>
      </c>
      <c r="FN2" s="61" t="inlineStr">
        <is>
          <t>Jan</t>
        </is>
      </c>
      <c r="FO2" s="61" t="inlineStr">
        <is>
          <t>Feb</t>
        </is>
      </c>
      <c r="FP2" s="61" t="inlineStr">
        <is>
          <t>Mar</t>
        </is>
      </c>
      <c r="FQ2" s="61" t="inlineStr">
        <is>
          <t>Apr</t>
        </is>
      </c>
      <c r="FR2" s="61" t="inlineStr">
        <is>
          <t>May</t>
        </is>
      </c>
      <c r="FS2" s="61" t="inlineStr">
        <is>
          <t>Jun</t>
        </is>
      </c>
      <c r="FT2" s="61" t="inlineStr">
        <is>
          <t>Jul</t>
        </is>
      </c>
      <c r="FU2" s="61" t="inlineStr">
        <is>
          <t>Aug</t>
        </is>
      </c>
      <c r="FV2" s="61" t="inlineStr">
        <is>
          <t>Sep</t>
        </is>
      </c>
      <c r="FW2" s="61" t="inlineStr">
        <is>
          <t>Oct</t>
        </is>
      </c>
      <c r="FX2" s="61" t="inlineStr">
        <is>
          <t>Nov</t>
        </is>
      </c>
      <c r="FY2" s="61" t="inlineStr">
        <is>
          <t>Dec</t>
        </is>
      </c>
      <c r="FZ2" s="61" t="inlineStr">
        <is>
          <t>Total</t>
        </is>
      </c>
      <c r="GA2" s="61" t="inlineStr">
        <is>
          <t>%</t>
        </is>
      </c>
      <c r="GB2" s="61" t="inlineStr">
        <is>
          <t>Jan</t>
        </is>
      </c>
      <c r="GC2" s="61" t="inlineStr">
        <is>
          <t>Feb</t>
        </is>
      </c>
      <c r="GD2" s="61" t="inlineStr">
        <is>
          <t>Mar</t>
        </is>
      </c>
      <c r="GE2" s="61" t="inlineStr">
        <is>
          <t>Apr</t>
        </is>
      </c>
      <c r="GF2" s="61" t="inlineStr">
        <is>
          <t>May</t>
        </is>
      </c>
      <c r="GG2" s="61" t="inlineStr">
        <is>
          <t>Jun</t>
        </is>
      </c>
      <c r="GH2" s="61" t="inlineStr">
        <is>
          <t>Jul</t>
        </is>
      </c>
      <c r="GI2" s="61" t="inlineStr">
        <is>
          <t>Aug</t>
        </is>
      </c>
      <c r="GJ2" s="61" t="inlineStr">
        <is>
          <t>Sep</t>
        </is>
      </c>
      <c r="GK2" s="61" t="inlineStr">
        <is>
          <t>Oct</t>
        </is>
      </c>
      <c r="GL2" s="61" t="inlineStr">
        <is>
          <t>Nov</t>
        </is>
      </c>
      <c r="GM2" s="61" t="inlineStr">
        <is>
          <t>Dec</t>
        </is>
      </c>
      <c r="GN2" s="61" t="inlineStr">
        <is>
          <t>Total</t>
        </is>
      </c>
      <c r="GO2" s="61" t="inlineStr">
        <is>
          <t>%</t>
        </is>
      </c>
      <c r="GP2" s="61" t="inlineStr">
        <is>
          <t>Jan</t>
        </is>
      </c>
      <c r="GQ2" s="61" t="inlineStr">
        <is>
          <t>Feb</t>
        </is>
      </c>
      <c r="GR2" s="61" t="inlineStr">
        <is>
          <t>Mar</t>
        </is>
      </c>
      <c r="GS2" s="61" t="inlineStr">
        <is>
          <t>Apr</t>
        </is>
      </c>
      <c r="GT2" s="61" t="inlineStr">
        <is>
          <t>May</t>
        </is>
      </c>
      <c r="GU2" s="61" t="inlineStr">
        <is>
          <t>Jun</t>
        </is>
      </c>
      <c r="GV2" s="61" t="inlineStr">
        <is>
          <t>Jul</t>
        </is>
      </c>
      <c r="GW2" s="61" t="inlineStr">
        <is>
          <t>Aug</t>
        </is>
      </c>
      <c r="GX2" s="61" t="inlineStr">
        <is>
          <t>Sep</t>
        </is>
      </c>
      <c r="GY2" s="61" t="inlineStr">
        <is>
          <t>Oct</t>
        </is>
      </c>
      <c r="GZ2" s="61" t="inlineStr">
        <is>
          <t>Nov</t>
        </is>
      </c>
      <c r="HA2" s="61" t="inlineStr">
        <is>
          <t>Dec</t>
        </is>
      </c>
      <c r="HB2" s="61" t="inlineStr">
        <is>
          <t>Total</t>
        </is>
      </c>
      <c r="HC2" s="61" t="inlineStr">
        <is>
          <t>%</t>
        </is>
      </c>
      <c r="HD2" s="61" t="inlineStr">
        <is>
          <t>Jan</t>
        </is>
      </c>
      <c r="HE2" s="61" t="inlineStr">
        <is>
          <t>Feb</t>
        </is>
      </c>
      <c r="HF2" s="61" t="inlineStr">
        <is>
          <t>Mar</t>
        </is>
      </c>
      <c r="HG2" s="61" t="inlineStr">
        <is>
          <t>Apr</t>
        </is>
      </c>
      <c r="HH2" s="61" t="inlineStr">
        <is>
          <t>May</t>
        </is>
      </c>
      <c r="HI2" s="61" t="inlineStr">
        <is>
          <t>Jun</t>
        </is>
      </c>
      <c r="HJ2" s="61" t="inlineStr">
        <is>
          <t>Jul</t>
        </is>
      </c>
      <c r="HK2" s="61" t="inlineStr">
        <is>
          <t>Aug</t>
        </is>
      </c>
      <c r="HL2" s="61" t="inlineStr">
        <is>
          <t>Sep</t>
        </is>
      </c>
      <c r="HM2" s="61" t="inlineStr">
        <is>
          <t>Oct</t>
        </is>
      </c>
      <c r="HN2" s="61" t="inlineStr">
        <is>
          <t>Nov</t>
        </is>
      </c>
      <c r="HO2" s="61" t="inlineStr">
        <is>
          <t>Dec</t>
        </is>
      </c>
      <c r="HP2" s="61" t="inlineStr">
        <is>
          <t>Total</t>
        </is>
      </c>
      <c r="HQ2" s="61" t="inlineStr">
        <is>
          <t>%</t>
        </is>
      </c>
      <c r="HR2" s="61" t="inlineStr">
        <is>
          <t>Jan</t>
        </is>
      </c>
      <c r="HS2" s="61" t="inlineStr">
        <is>
          <t>Feb</t>
        </is>
      </c>
      <c r="HT2" s="61" t="inlineStr">
        <is>
          <t>Mar</t>
        </is>
      </c>
      <c r="HU2" s="61" t="inlineStr">
        <is>
          <t>Apr</t>
        </is>
      </c>
      <c r="HV2" s="61" t="inlineStr">
        <is>
          <t>May</t>
        </is>
      </c>
      <c r="HW2" s="61" t="inlineStr">
        <is>
          <t>Jun</t>
        </is>
      </c>
      <c r="HX2" s="61" t="inlineStr">
        <is>
          <t>Jul</t>
        </is>
      </c>
      <c r="HY2" s="61" t="inlineStr">
        <is>
          <t>Aug</t>
        </is>
      </c>
      <c r="HZ2" s="61" t="inlineStr">
        <is>
          <t>Sep</t>
        </is>
      </c>
      <c r="IA2" s="61" t="inlineStr">
        <is>
          <t>Oct</t>
        </is>
      </c>
      <c r="IB2" s="61" t="inlineStr">
        <is>
          <t>Nov</t>
        </is>
      </c>
      <c r="IC2" s="61" t="inlineStr">
        <is>
          <t>Dec</t>
        </is>
      </c>
      <c r="ID2" s="61" t="inlineStr">
        <is>
          <t>Total</t>
        </is>
      </c>
      <c r="IE2" s="61" t="inlineStr">
        <is>
          <t>%</t>
        </is>
      </c>
      <c r="IF2" s="61" t="inlineStr">
        <is>
          <t>Jan</t>
        </is>
      </c>
      <c r="IG2" s="61" t="inlineStr">
        <is>
          <t>Feb</t>
        </is>
      </c>
      <c r="IH2" s="61" t="inlineStr">
        <is>
          <t>Mar</t>
        </is>
      </c>
      <c r="II2" s="61" t="inlineStr">
        <is>
          <t>Apr</t>
        </is>
      </c>
      <c r="IJ2" s="61" t="inlineStr">
        <is>
          <t>May</t>
        </is>
      </c>
      <c r="IK2" s="61" t="inlineStr">
        <is>
          <t>Jun</t>
        </is>
      </c>
      <c r="IL2" s="61" t="inlineStr">
        <is>
          <t>Jul</t>
        </is>
      </c>
      <c r="IM2" s="61" t="inlineStr">
        <is>
          <t>Aug</t>
        </is>
      </c>
      <c r="IN2" s="61" t="inlineStr">
        <is>
          <t>Sep</t>
        </is>
      </c>
      <c r="IO2" s="61" t="inlineStr">
        <is>
          <t>Oct</t>
        </is>
      </c>
      <c r="IP2" s="61" t="inlineStr">
        <is>
          <t>Nov</t>
        </is>
      </c>
      <c r="IQ2" s="61" t="inlineStr">
        <is>
          <t>Dec</t>
        </is>
      </c>
      <c r="IR2" s="61" t="inlineStr">
        <is>
          <t>Total</t>
        </is>
      </c>
      <c r="IS2" s="61" t="inlineStr">
        <is>
          <t>%</t>
        </is>
      </c>
      <c r="IT2" s="61" t="inlineStr">
        <is>
          <t>Jan</t>
        </is>
      </c>
      <c r="IU2" s="61" t="inlineStr">
        <is>
          <t>Feb</t>
        </is>
      </c>
      <c r="IV2" s="61" t="inlineStr">
        <is>
          <t>Mar</t>
        </is>
      </c>
      <c r="IW2" s="61" t="inlineStr">
        <is>
          <t>Apr</t>
        </is>
      </c>
      <c r="IX2" s="61" t="inlineStr">
        <is>
          <t>May</t>
        </is>
      </c>
      <c r="IY2" s="61" t="inlineStr">
        <is>
          <t>Jun</t>
        </is>
      </c>
      <c r="IZ2" s="61" t="inlineStr">
        <is>
          <t>Jul</t>
        </is>
      </c>
      <c r="JA2" s="61" t="inlineStr">
        <is>
          <t>Aug</t>
        </is>
      </c>
      <c r="JB2" s="61" t="inlineStr">
        <is>
          <t>Sep</t>
        </is>
      </c>
      <c r="JC2" s="61" t="inlineStr">
        <is>
          <t>Oct</t>
        </is>
      </c>
      <c r="JD2" s="61" t="inlineStr">
        <is>
          <t>Nov</t>
        </is>
      </c>
      <c r="JE2" s="61" t="inlineStr">
        <is>
          <t>Dec</t>
        </is>
      </c>
      <c r="JF2" s="61" t="inlineStr">
        <is>
          <t>Total</t>
        </is>
      </c>
      <c r="JG2" s="61" t="inlineStr">
        <is>
          <t>%</t>
        </is>
      </c>
      <c r="JH2" s="61" t="inlineStr">
        <is>
          <t>Jan</t>
        </is>
      </c>
      <c r="JI2" s="61" t="inlineStr">
        <is>
          <t>Feb</t>
        </is>
      </c>
      <c r="JJ2" s="61" t="inlineStr">
        <is>
          <t>Mar</t>
        </is>
      </c>
      <c r="JK2" s="61" t="inlineStr">
        <is>
          <t>Apr</t>
        </is>
      </c>
      <c r="JL2" s="61" t="inlineStr">
        <is>
          <t>May</t>
        </is>
      </c>
      <c r="JM2" s="61" t="inlineStr">
        <is>
          <t>Jun</t>
        </is>
      </c>
      <c r="JN2" s="61" t="inlineStr">
        <is>
          <t>Jul</t>
        </is>
      </c>
      <c r="JO2" s="61" t="inlineStr">
        <is>
          <t>Aug</t>
        </is>
      </c>
      <c r="JP2" s="61" t="inlineStr">
        <is>
          <t>Sep</t>
        </is>
      </c>
      <c r="JQ2" s="61" t="inlineStr">
        <is>
          <t>Oct</t>
        </is>
      </c>
      <c r="JR2" s="61" t="inlineStr">
        <is>
          <t>Nov</t>
        </is>
      </c>
      <c r="JS2" s="61" t="inlineStr">
        <is>
          <t>Dec</t>
        </is>
      </c>
      <c r="JT2" s="61" t="inlineStr">
        <is>
          <t>Total</t>
        </is>
      </c>
      <c r="JU2" s="61" t="inlineStr">
        <is>
          <t>%</t>
        </is>
      </c>
      <c r="JV2" s="61" t="inlineStr">
        <is>
          <t>Jan</t>
        </is>
      </c>
      <c r="JW2" s="61" t="inlineStr">
        <is>
          <t>Feb</t>
        </is>
      </c>
      <c r="JX2" s="61" t="inlineStr">
        <is>
          <t>Mar</t>
        </is>
      </c>
      <c r="JY2" s="61" t="inlineStr">
        <is>
          <t>Apr</t>
        </is>
      </c>
      <c r="JZ2" s="61" t="inlineStr">
        <is>
          <t>May</t>
        </is>
      </c>
      <c r="KA2" s="61" t="inlineStr">
        <is>
          <t>Jun</t>
        </is>
      </c>
      <c r="KB2" s="61" t="inlineStr">
        <is>
          <t>Jul</t>
        </is>
      </c>
      <c r="KC2" s="61" t="inlineStr">
        <is>
          <t>Aug</t>
        </is>
      </c>
      <c r="KD2" s="61" t="inlineStr">
        <is>
          <t>Sep</t>
        </is>
      </c>
      <c r="KE2" s="61" t="inlineStr">
        <is>
          <t>Oct</t>
        </is>
      </c>
      <c r="KF2" s="61" t="inlineStr">
        <is>
          <t>Nov</t>
        </is>
      </c>
      <c r="KG2" s="61" t="inlineStr">
        <is>
          <t>Dec</t>
        </is>
      </c>
      <c r="KH2" s="61" t="inlineStr">
        <is>
          <t>Total</t>
        </is>
      </c>
      <c r="KI2" s="61" t="inlineStr">
        <is>
          <t>%</t>
        </is>
      </c>
      <c r="KJ2" s="61" t="inlineStr">
        <is>
          <t>Jan</t>
        </is>
      </c>
      <c r="KK2" s="61" t="inlineStr">
        <is>
          <t>Feb</t>
        </is>
      </c>
      <c r="KL2" s="61" t="inlineStr">
        <is>
          <t>Mar</t>
        </is>
      </c>
      <c r="KM2" s="61" t="inlineStr">
        <is>
          <t>Apr</t>
        </is>
      </c>
      <c r="KN2" s="61" t="inlineStr">
        <is>
          <t>May</t>
        </is>
      </c>
      <c r="KO2" s="61" t="inlineStr">
        <is>
          <t>Jun</t>
        </is>
      </c>
      <c r="KP2" s="61" t="inlineStr">
        <is>
          <t>Jul</t>
        </is>
      </c>
      <c r="KQ2" s="61" t="inlineStr">
        <is>
          <t>Aug</t>
        </is>
      </c>
      <c r="KR2" s="61" t="inlineStr">
        <is>
          <t>Sep</t>
        </is>
      </c>
      <c r="KS2" s="61" t="inlineStr">
        <is>
          <t>Oct</t>
        </is>
      </c>
      <c r="KT2" s="61" t="inlineStr">
        <is>
          <t>Nov</t>
        </is>
      </c>
      <c r="KU2" s="61" t="inlineStr">
        <is>
          <t>Dec</t>
        </is>
      </c>
      <c r="KV2" s="61" t="inlineStr">
        <is>
          <t>Total</t>
        </is>
      </c>
      <c r="KW2" s="61" t="inlineStr">
        <is>
          <t>%</t>
        </is>
      </c>
      <c r="KX2" s="783" t="inlineStr">
        <is>
          <t>SKU</t>
        </is>
      </c>
      <c r="KY2" s="783" t="inlineStr">
        <is>
          <t>%</t>
        </is>
      </c>
    </row>
    <row r="3" ht="14.25" customFormat="1" customHeight="1" s="57">
      <c r="A3" s="53" t="inlineStr">
        <is>
          <t xml:space="preserve">1.มี Concept จาก Mkt CPRAM มาให้ แต่เสนอ Concept แล้วไม่ผ่าน </t>
        </is>
      </c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5">
        <f>SUM(B3:M3)</f>
        <v/>
      </c>
      <c r="O3" s="56">
        <f>N3/N$46%</f>
        <v/>
      </c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5">
        <f>SUM(P3:AA3)</f>
        <v/>
      </c>
      <c r="AC3" s="56">
        <f>AB3/AB$46%</f>
        <v/>
      </c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5">
        <f>SUM(AD3:AO3)</f>
        <v/>
      </c>
      <c r="AQ3" s="56">
        <f>AP3/AP$46%</f>
        <v/>
      </c>
      <c r="AR3" s="54" t="n"/>
      <c r="AS3" s="54" t="n">
        <v>1</v>
      </c>
      <c r="AT3" s="54" t="n"/>
      <c r="AU3" s="54" t="n">
        <v>1</v>
      </c>
      <c r="AV3" s="54" t="n"/>
      <c r="AW3" s="54" t="n"/>
      <c r="AX3" s="54" t="n"/>
      <c r="AY3" s="54" t="n"/>
      <c r="AZ3" s="54" t="n"/>
      <c r="BA3" s="54" t="n"/>
      <c r="BB3" s="54" t="n"/>
      <c r="BC3" s="54" t="n"/>
      <c r="BD3" s="55">
        <f>SUM(AR3:BC3)</f>
        <v/>
      </c>
      <c r="BE3" s="56">
        <f>BD3/BD$46%</f>
        <v/>
      </c>
      <c r="BF3" s="54" t="n"/>
      <c r="BG3" s="54" t="n"/>
      <c r="BH3" s="54" t="n"/>
      <c r="BI3" s="54" t="n"/>
      <c r="BJ3" s="54" t="n"/>
      <c r="BK3" s="54" t="n"/>
      <c r="BL3" s="54" t="n"/>
      <c r="BM3" s="54" t="n"/>
      <c r="BN3" s="54" t="n"/>
      <c r="BO3" s="54" t="n"/>
      <c r="BP3" s="54" t="n"/>
      <c r="BQ3" s="54" t="n"/>
      <c r="BR3" s="55">
        <f>SUM(BF3:BQ3)</f>
        <v/>
      </c>
      <c r="BS3" s="56">
        <f>BR3/BR$46%</f>
        <v/>
      </c>
      <c r="BT3" s="54" t="n"/>
      <c r="BU3" s="54" t="n"/>
      <c r="BV3" s="54" t="n"/>
      <c r="BW3" s="54" t="n"/>
      <c r="BX3" s="54" t="n"/>
      <c r="BY3" s="54" t="n"/>
      <c r="BZ3" s="54" t="n"/>
      <c r="CA3" s="54" t="n"/>
      <c r="CB3" s="54" t="n"/>
      <c r="CC3" s="54" t="n"/>
      <c r="CD3" s="54" t="n"/>
      <c r="CE3" s="54" t="n"/>
      <c r="CF3" s="55">
        <f>SUM(BT3:CE3)</f>
        <v/>
      </c>
      <c r="CG3" s="56">
        <f>CF3/CF$46%</f>
        <v/>
      </c>
      <c r="CH3" s="54" t="n"/>
      <c r="CI3" s="54" t="n"/>
      <c r="CJ3" s="54" t="n"/>
      <c r="CK3" s="54" t="n"/>
      <c r="CL3" s="54" t="n"/>
      <c r="CM3" s="54" t="n"/>
      <c r="CN3" s="54" t="n"/>
      <c r="CO3" s="54" t="n"/>
      <c r="CP3" s="54" t="n"/>
      <c r="CQ3" s="54" t="n"/>
      <c r="CR3" s="54" t="n"/>
      <c r="CS3" s="54" t="n"/>
      <c r="CT3" s="55">
        <f>SUM(CH3:CS3)</f>
        <v/>
      </c>
      <c r="CU3" s="56">
        <f>CT3/CT$46%</f>
        <v/>
      </c>
      <c r="CV3" s="54" t="n"/>
      <c r="CW3" s="54" t="n"/>
      <c r="CX3" s="54" t="n"/>
      <c r="CY3" s="54" t="n"/>
      <c r="CZ3" s="54" t="n"/>
      <c r="DA3" s="54" t="n"/>
      <c r="DB3" s="54" t="n"/>
      <c r="DC3" s="54" t="n"/>
      <c r="DD3" s="54" t="n"/>
      <c r="DE3" s="54" t="n"/>
      <c r="DF3" s="54" t="n"/>
      <c r="DG3" s="54" t="n"/>
      <c r="DH3" s="55">
        <f>SUM(CV3:DG3)</f>
        <v/>
      </c>
      <c r="DI3" s="56">
        <f>DH3/DH$46%</f>
        <v/>
      </c>
      <c r="DJ3" s="54" t="n"/>
      <c r="DK3" s="54" t="n"/>
      <c r="DL3" s="54" t="n"/>
      <c r="DM3" s="54" t="n"/>
      <c r="DN3" s="54" t="n"/>
      <c r="DO3" s="54" t="n"/>
      <c r="DP3" s="54" t="n"/>
      <c r="DQ3" s="54" t="n"/>
      <c r="DR3" s="54" t="n"/>
      <c r="DS3" s="54" t="n"/>
      <c r="DT3" s="54" t="n"/>
      <c r="DU3" s="54" t="n"/>
      <c r="DV3" s="55">
        <f>SUM(DJ3:DU3)</f>
        <v/>
      </c>
      <c r="DW3" s="56">
        <f>DV3/DV$46%</f>
        <v/>
      </c>
      <c r="DX3" s="54" t="n"/>
      <c r="DY3" s="54" t="n"/>
      <c r="DZ3" s="54" t="n"/>
      <c r="EA3" s="54" t="n"/>
      <c r="EB3" s="54" t="n"/>
      <c r="EC3" s="54" t="n"/>
      <c r="ED3" s="54" t="n"/>
      <c r="EE3" s="54" t="n"/>
      <c r="EF3" s="54" t="n"/>
      <c r="EG3" s="54" t="n"/>
      <c r="EH3" s="54" t="n"/>
      <c r="EI3" s="54" t="n"/>
      <c r="EJ3" s="55">
        <f>SUM(DX3:EI3)</f>
        <v/>
      </c>
      <c r="EK3" s="56">
        <f>EJ3/EJ$46%</f>
        <v/>
      </c>
      <c r="EL3" s="54" t="n"/>
      <c r="EM3" s="54" t="n"/>
      <c r="EN3" s="54" t="n">
        <v>1</v>
      </c>
      <c r="EO3" s="54" t="n">
        <v>4</v>
      </c>
      <c r="EP3" s="54" t="n">
        <v>6</v>
      </c>
      <c r="EQ3" s="54" t="n">
        <v>1</v>
      </c>
      <c r="ER3" s="54" t="n">
        <v>2</v>
      </c>
      <c r="ES3" s="54" t="n"/>
      <c r="ET3" s="54" t="n"/>
      <c r="EU3" s="54" t="n"/>
      <c r="EV3" s="54" t="n"/>
      <c r="EW3" s="54" t="n"/>
      <c r="EX3" s="55">
        <f>SUM(EL3:EW3)</f>
        <v/>
      </c>
      <c r="EY3" s="56">
        <f>EX3/EX$46%</f>
        <v/>
      </c>
      <c r="EZ3" s="54" t="n"/>
      <c r="FA3" s="54" t="n"/>
      <c r="FB3" s="54" t="n"/>
      <c r="FC3" s="54" t="n"/>
      <c r="FD3" s="54" t="n"/>
      <c r="FE3" s="54" t="n"/>
      <c r="FF3" s="54" t="n"/>
      <c r="FG3" s="54" t="n"/>
      <c r="FH3" s="54" t="n"/>
      <c r="FI3" s="54" t="n"/>
      <c r="FJ3" s="54" t="n"/>
      <c r="FK3" s="54" t="n"/>
      <c r="FL3" s="55">
        <f>SUM(EZ3:FK3)</f>
        <v/>
      </c>
      <c r="FM3" s="56">
        <f>FL3/FL$46%</f>
        <v/>
      </c>
      <c r="FN3" s="54" t="n"/>
      <c r="FO3" s="54" t="n"/>
      <c r="FP3" s="54" t="n"/>
      <c r="FQ3" s="54" t="n"/>
      <c r="FR3" s="54" t="n"/>
      <c r="FS3" s="54" t="n"/>
      <c r="FT3" s="54" t="n"/>
      <c r="FU3" s="54" t="n"/>
      <c r="FV3" s="54" t="n"/>
      <c r="FW3" s="54" t="n"/>
      <c r="FX3" s="54" t="n"/>
      <c r="FY3" s="54" t="n"/>
      <c r="FZ3" s="55">
        <f>SUM(FN3:FY3)</f>
        <v/>
      </c>
      <c r="GA3" s="56">
        <f>FZ3/FZ$46%</f>
        <v/>
      </c>
      <c r="GB3" s="54" t="n"/>
      <c r="GC3" s="54" t="n"/>
      <c r="GD3" s="54" t="n"/>
      <c r="GE3" s="54" t="n"/>
      <c r="GF3" s="54" t="n"/>
      <c r="GG3" s="54" t="n"/>
      <c r="GH3" s="54" t="n"/>
      <c r="GI3" s="54" t="n"/>
      <c r="GJ3" s="54" t="n"/>
      <c r="GK3" s="54" t="n"/>
      <c r="GL3" s="54" t="n"/>
      <c r="GM3" s="54" t="n"/>
      <c r="GN3" s="55">
        <f>SUM(GB3:GM3)</f>
        <v/>
      </c>
      <c r="GO3" s="56">
        <f>GN3/GN$46%</f>
        <v/>
      </c>
      <c r="GP3" s="55" t="n">
        <v>1</v>
      </c>
      <c r="GQ3" s="54" t="n"/>
      <c r="GR3" s="54" t="n"/>
      <c r="GS3" s="54" t="n"/>
      <c r="GT3" s="54" t="n"/>
      <c r="GU3" s="54" t="n"/>
      <c r="GV3" s="54" t="n"/>
      <c r="GW3" s="54" t="n"/>
      <c r="GX3" s="54" t="n"/>
      <c r="GY3" s="54" t="n"/>
      <c r="GZ3" s="54" t="n"/>
      <c r="HA3" s="54" t="n"/>
      <c r="HB3" s="55">
        <f>SUM(GP3:HA3)</f>
        <v/>
      </c>
      <c r="HC3" s="56">
        <f>HB3/HB$46%</f>
        <v/>
      </c>
      <c r="HD3" s="54" t="n"/>
      <c r="HE3" s="54" t="n"/>
      <c r="HF3" s="54" t="n"/>
      <c r="HG3" s="54" t="n"/>
      <c r="HH3" s="54" t="n"/>
      <c r="HI3" s="54" t="n"/>
      <c r="HJ3" s="54" t="n"/>
      <c r="HK3" s="54" t="n"/>
      <c r="HL3" s="54" t="n"/>
      <c r="HM3" s="54" t="n"/>
      <c r="HN3" s="54" t="n"/>
      <c r="HO3" s="54" t="n"/>
      <c r="HP3" s="55">
        <f>SUM(HD3:HO3)</f>
        <v/>
      </c>
      <c r="HQ3" s="56">
        <f>HP3/HP$46%</f>
        <v/>
      </c>
      <c r="HR3" s="54" t="n"/>
      <c r="HS3" s="54" t="n"/>
      <c r="HT3" s="54" t="n"/>
      <c r="HU3" s="54" t="n"/>
      <c r="HV3" s="54" t="n"/>
      <c r="HW3" s="54" t="n"/>
      <c r="HX3" s="54" t="n"/>
      <c r="HY3" s="54" t="n"/>
      <c r="HZ3" s="54" t="n"/>
      <c r="IA3" s="54" t="n"/>
      <c r="IB3" s="54" t="n"/>
      <c r="IC3" s="54" t="n"/>
      <c r="ID3" s="55">
        <f>SUM(HR3:IC3)</f>
        <v/>
      </c>
      <c r="IE3" s="56">
        <f>ID3/ID$46%</f>
        <v/>
      </c>
      <c r="IF3" s="54" t="n"/>
      <c r="IG3" s="54" t="n"/>
      <c r="IH3" s="54" t="n"/>
      <c r="II3" s="54" t="n"/>
      <c r="IJ3" s="54" t="n"/>
      <c r="IK3" s="54" t="n"/>
      <c r="IL3" s="54" t="n"/>
      <c r="IM3" s="54" t="n"/>
      <c r="IN3" s="54" t="n"/>
      <c r="IO3" s="54" t="n"/>
      <c r="IP3" s="54" t="n"/>
      <c r="IQ3" s="54" t="n"/>
      <c r="IR3" s="55">
        <f>SUM(IF3:IQ3)</f>
        <v/>
      </c>
      <c r="IS3" s="56">
        <f>IR3/IR$46%</f>
        <v/>
      </c>
      <c r="IT3" s="54" t="n"/>
      <c r="IU3" s="54" t="n"/>
      <c r="IV3" s="54" t="n"/>
      <c r="IW3" s="54" t="n"/>
      <c r="IX3" s="54" t="n"/>
      <c r="IY3" s="54" t="n"/>
      <c r="IZ3" s="54" t="n"/>
      <c r="JA3" s="54" t="n"/>
      <c r="JB3" s="54" t="n"/>
      <c r="JC3" s="54" t="n"/>
      <c r="JD3" s="54" t="n"/>
      <c r="JE3" s="54" t="n"/>
      <c r="JF3" s="55">
        <f>SUM(IT3:JE3)</f>
        <v/>
      </c>
      <c r="JG3" s="56">
        <f>JF3/JF$46%</f>
        <v/>
      </c>
      <c r="JH3" s="54" t="n"/>
      <c r="JI3" s="54" t="n"/>
      <c r="JJ3" s="54" t="n"/>
      <c r="JK3" s="54" t="n"/>
      <c r="JL3" s="54" t="n"/>
      <c r="JM3" s="54" t="n"/>
      <c r="JN3" s="54" t="n"/>
      <c r="JO3" s="54" t="n"/>
      <c r="JP3" s="54" t="n"/>
      <c r="JQ3" s="54" t="n"/>
      <c r="JR3" s="54" t="n"/>
      <c r="JS3" s="54" t="n"/>
      <c r="JT3" s="55">
        <f>SUM(JH3:JS3)</f>
        <v/>
      </c>
      <c r="JU3" s="56">
        <f>JT3/JT$46%</f>
        <v/>
      </c>
      <c r="JV3" s="54" t="n"/>
      <c r="JW3" s="54" t="n"/>
      <c r="JX3" s="54" t="n"/>
      <c r="JY3" s="54" t="n"/>
      <c r="JZ3" s="54" t="n"/>
      <c r="KA3" s="54" t="n">
        <v>4</v>
      </c>
      <c r="KB3" s="54" t="n"/>
      <c r="KC3" s="54" t="n"/>
      <c r="KD3" s="54" t="n"/>
      <c r="KE3" s="54" t="n"/>
      <c r="KF3" s="54" t="n"/>
      <c r="KG3" s="54" t="n"/>
      <c r="KH3" s="55">
        <f>SUM(JV3:KG3)</f>
        <v/>
      </c>
      <c r="KI3" s="56">
        <f>KH3/KH$46%</f>
        <v/>
      </c>
      <c r="KJ3" s="54" t="n"/>
      <c r="KK3" s="54" t="n"/>
      <c r="KL3" s="54" t="n"/>
      <c r="KM3" s="54" t="n"/>
      <c r="KN3" s="54" t="n"/>
      <c r="KO3" s="54" t="n"/>
      <c r="KP3" s="54" t="n"/>
      <c r="KQ3" s="54" t="n"/>
      <c r="KR3" s="54" t="n"/>
      <c r="KS3" s="54" t="n"/>
      <c r="KT3" s="54" t="n"/>
      <c r="KU3" s="54" t="n"/>
      <c r="KV3" s="55">
        <f>SUM(KJ3:KU3)</f>
        <v/>
      </c>
      <c r="KW3" s="56">
        <f>KV3/KV$46%</f>
        <v/>
      </c>
      <c r="KX3" s="78">
        <f>N3+AB3+AP3+BD3+BR3+CF3+CT3+DH3+DV3+EJ3+EX3+FZ3+GN3+HB3+HP3+ID3+IR3+JF3+KH3+KV3+JT3</f>
        <v/>
      </c>
      <c r="KY3" s="78">
        <f>KX3/KX$46%</f>
        <v/>
      </c>
      <c r="KZ3" s="90" t="n"/>
    </row>
    <row r="4" ht="14.25" customFormat="1" customHeight="1" s="10">
      <c r="A4" s="17" t="inlineStr">
        <is>
          <t>1.1 เพราะสินค้าไม่ตรง Concept ที่ Mer หรือ ลูกค้า อยากได้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18">
        <f>SUM(B4:M4)</f>
        <v/>
      </c>
      <c r="O4" s="18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18">
        <f>SUM(P4:AA4)</f>
        <v/>
      </c>
      <c r="AC4" s="18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18">
        <f>SUM(AD4:AO4)</f>
        <v/>
      </c>
      <c r="AQ4" s="18" t="n"/>
      <c r="AR4" s="7" t="n"/>
      <c r="AS4" s="7" t="n">
        <v>1</v>
      </c>
      <c r="AT4" s="7" t="n"/>
      <c r="AU4" s="7" t="n">
        <v>1</v>
      </c>
      <c r="AV4" s="7" t="n"/>
      <c r="AW4" s="7" t="n"/>
      <c r="AX4" s="7" t="n"/>
      <c r="AY4" s="7" t="n"/>
      <c r="AZ4" s="7" t="n"/>
      <c r="BA4" s="7" t="n"/>
      <c r="BB4" s="7" t="n"/>
      <c r="BC4" s="7" t="n"/>
      <c r="BD4" s="18">
        <f>SUM(AR4:BC4)</f>
        <v/>
      </c>
      <c r="BE4" s="18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18">
        <f>SUM(BF4:BQ4)</f>
        <v/>
      </c>
      <c r="BS4" s="18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18">
        <f>SUM(BT4:CE4)</f>
        <v/>
      </c>
      <c r="CG4" s="18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18">
        <f>SUM(CH4:CS4)</f>
        <v/>
      </c>
      <c r="CU4" s="18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18">
        <f>SUM(CV4:DG4)</f>
        <v/>
      </c>
      <c r="DI4" s="18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18">
        <f>SUM(DJ4:DU4)</f>
        <v/>
      </c>
      <c r="DW4" s="18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18">
        <f>SUM(DX4:EI4)</f>
        <v/>
      </c>
      <c r="EK4" s="18" t="n"/>
      <c r="EL4" s="7" t="n"/>
      <c r="EM4" s="7" t="n"/>
      <c r="EN4" s="7" t="n">
        <v>1</v>
      </c>
      <c r="EO4" s="7" t="n">
        <v>4</v>
      </c>
      <c r="EP4" s="7" t="n">
        <v>6</v>
      </c>
      <c r="EQ4" s="7" t="n">
        <v>1</v>
      </c>
      <c r="ER4" s="7" t="n">
        <v>1</v>
      </c>
      <c r="ES4" s="7" t="n"/>
      <c r="ET4" s="7" t="n"/>
      <c r="EU4" s="7" t="n"/>
      <c r="EV4" s="7" t="n"/>
      <c r="EW4" s="7" t="n"/>
      <c r="EX4" s="18">
        <f>SUM(EL4:EW4)</f>
        <v/>
      </c>
      <c r="EY4" s="18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18">
        <f>SUM(EZ4:FK4)</f>
        <v/>
      </c>
      <c r="FM4" s="18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18">
        <f>SUM(FN4:FY4)</f>
        <v/>
      </c>
      <c r="GA4" s="18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18">
        <f>SUM(GB4:GM4)</f>
        <v/>
      </c>
      <c r="GO4" s="18" t="n"/>
      <c r="GP4" s="7" t="n">
        <v>1</v>
      </c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18">
        <f>SUM(GP4:HA4)</f>
        <v/>
      </c>
      <c r="HC4" s="18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18">
        <f>SUM(HD4:HO4)</f>
        <v/>
      </c>
      <c r="HQ4" s="18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18">
        <f>SUM(HR4:IC4)</f>
        <v/>
      </c>
      <c r="IE4" s="18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18">
        <f>SUM(IF4:IQ4)</f>
        <v/>
      </c>
      <c r="IS4" s="18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18">
        <f>SUM(IT4:JE4)</f>
        <v/>
      </c>
      <c r="JG4" s="18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18">
        <f>SUM(JH4:JS4)</f>
        <v/>
      </c>
      <c r="JU4" s="18" t="n"/>
      <c r="JV4" s="7" t="n"/>
      <c r="JW4" s="7" t="n"/>
      <c r="JX4" s="7" t="n"/>
      <c r="JY4" s="7" t="n"/>
      <c r="JZ4" s="7" t="n"/>
      <c r="KA4" s="7" t="n">
        <v>4</v>
      </c>
      <c r="KB4" s="7" t="n"/>
      <c r="KC4" s="7" t="n"/>
      <c r="KD4" s="7" t="n"/>
      <c r="KE4" s="7" t="n"/>
      <c r="KF4" s="7" t="n"/>
      <c r="KG4" s="7" t="n"/>
      <c r="KH4" s="18">
        <f>SUM(JV4:KG4)</f>
        <v/>
      </c>
      <c r="KI4" s="18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18">
        <f>SUM(KJ4:KU4)</f>
        <v/>
      </c>
      <c r="KW4" s="18" t="n"/>
      <c r="KX4" s="783" t="n"/>
      <c r="KY4" s="76" t="n"/>
    </row>
    <row r="5" ht="14.25" customFormat="1" customHeight="1" s="10">
      <c r="A5" s="17" t="inlineStr">
        <is>
          <t>1.2 เพราะสินค้าไม่เหมือน BM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18">
        <f>SUM(B5:M5)</f>
        <v/>
      </c>
      <c r="O5" s="18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18">
        <f>SUM(P5:AA5)</f>
        <v/>
      </c>
      <c r="AC5" s="18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18">
        <f>SUM(AD5:AO5)</f>
        <v/>
      </c>
      <c r="AQ5" s="18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18">
        <f>SUM(AR5:BC5)</f>
        <v/>
      </c>
      <c r="BE5" s="18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18">
        <f>SUM(BF5:BQ5)</f>
        <v/>
      </c>
      <c r="BS5" s="18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18">
        <f>SUM(BT5:CE5)</f>
        <v/>
      </c>
      <c r="CG5" s="18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18">
        <f>SUM(CH5:CS5)</f>
        <v/>
      </c>
      <c r="CU5" s="18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18">
        <f>SUM(CV5:DG5)</f>
        <v/>
      </c>
      <c r="DI5" s="18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18">
        <f>SUM(DJ5:DU5)</f>
        <v/>
      </c>
      <c r="DW5" s="18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18">
        <f>SUM(DX5:EI5)</f>
        <v/>
      </c>
      <c r="EK5" s="18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18">
        <f>SUM(EL5:EW5)</f>
        <v/>
      </c>
      <c r="EY5" s="18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18">
        <f>SUM(EZ5:FK5)</f>
        <v/>
      </c>
      <c r="FM5" s="18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18">
        <f>SUM(FN5:FY5)</f>
        <v/>
      </c>
      <c r="GA5" s="18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18">
        <f>SUM(GB5:GM5)</f>
        <v/>
      </c>
      <c r="GO5" s="18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18">
        <f>SUM(GP5:HA5)</f>
        <v/>
      </c>
      <c r="HC5" s="18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18">
        <f>SUM(HD5:HO5)</f>
        <v/>
      </c>
      <c r="HQ5" s="18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18">
        <f>SUM(HR5:IC5)</f>
        <v/>
      </c>
      <c r="IE5" s="18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18">
        <f>SUM(IF5:IQ5)</f>
        <v/>
      </c>
      <c r="IS5" s="18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18">
        <f>SUM(IT5:JE5)</f>
        <v/>
      </c>
      <c r="JG5" s="18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18">
        <f>SUM(JH5:JS5)</f>
        <v/>
      </c>
      <c r="JU5" s="18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18">
        <f>SUM(JV5:KG5)</f>
        <v/>
      </c>
      <c r="KI5" s="18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18">
        <f>SUM(KJ5:KU5)</f>
        <v/>
      </c>
      <c r="KW5" s="18" t="n"/>
      <c r="KX5" s="783" t="n"/>
      <c r="KY5" s="76" t="n"/>
    </row>
    <row r="6" ht="14.25" customFormat="1" customHeight="1" s="10">
      <c r="A6" s="17" t="inlineStr">
        <is>
          <t>1.3 เพราะSurvey ลูกค้าแล้วไม่ผ่าน, ไม่น่าสนใจ</t>
        </is>
      </c>
      <c r="B6" s="7" t="n"/>
      <c r="C6" s="7" t="n"/>
      <c r="D6" s="7" t="n"/>
      <c r="E6" s="19" t="n"/>
      <c r="F6" s="7" t="n"/>
      <c r="G6" s="7" t="n"/>
      <c r="H6" s="7" t="n"/>
      <c r="I6" s="19" t="n"/>
      <c r="J6" s="7" t="n"/>
      <c r="K6" s="7" t="n"/>
      <c r="L6" s="7" t="n"/>
      <c r="M6" s="19" t="n"/>
      <c r="N6" s="18">
        <f>SUM(B6:M6)</f>
        <v/>
      </c>
      <c r="O6" s="20" t="n"/>
      <c r="P6" s="7" t="n"/>
      <c r="Q6" s="7" t="n"/>
      <c r="R6" s="7" t="n"/>
      <c r="S6" s="19" t="n"/>
      <c r="T6" s="7" t="n"/>
      <c r="U6" s="7" t="n"/>
      <c r="V6" s="7" t="n"/>
      <c r="W6" s="19" t="n"/>
      <c r="X6" s="7" t="n"/>
      <c r="Y6" s="7" t="n"/>
      <c r="Z6" s="7" t="n"/>
      <c r="AA6" s="19" t="n"/>
      <c r="AB6" s="18">
        <f>SUM(P6:AA6)</f>
        <v/>
      </c>
      <c r="AC6" s="20" t="n"/>
      <c r="AD6" s="7" t="n"/>
      <c r="AE6" s="7" t="n"/>
      <c r="AF6" s="7" t="n"/>
      <c r="AG6" s="19" t="n"/>
      <c r="AH6" s="7" t="n"/>
      <c r="AI6" s="7" t="n"/>
      <c r="AJ6" s="7" t="n"/>
      <c r="AK6" s="19" t="n"/>
      <c r="AL6" s="7" t="n"/>
      <c r="AM6" s="7" t="n"/>
      <c r="AN6" s="7" t="n"/>
      <c r="AO6" s="19" t="n"/>
      <c r="AP6" s="18">
        <f>SUM(AD6:AO6)</f>
        <v/>
      </c>
      <c r="AQ6" s="20" t="n"/>
      <c r="AR6" s="7" t="n"/>
      <c r="AS6" s="7" t="n"/>
      <c r="AT6" s="7" t="n"/>
      <c r="AU6" s="19" t="n"/>
      <c r="AV6" s="7" t="n"/>
      <c r="AW6" s="7" t="n"/>
      <c r="AX6" s="7" t="n"/>
      <c r="AY6" s="19" t="n"/>
      <c r="AZ6" s="7" t="n"/>
      <c r="BA6" s="7" t="n"/>
      <c r="BB6" s="7" t="n"/>
      <c r="BC6" s="19" t="n"/>
      <c r="BD6" s="18">
        <f>SUM(AR6:BC6)</f>
        <v/>
      </c>
      <c r="BE6" s="20" t="n"/>
      <c r="BF6" s="7" t="n"/>
      <c r="BG6" s="7" t="n"/>
      <c r="BH6" s="7" t="n"/>
      <c r="BI6" s="19" t="n"/>
      <c r="BJ6" s="7" t="n"/>
      <c r="BK6" s="7" t="n"/>
      <c r="BL6" s="7" t="n"/>
      <c r="BM6" s="19" t="n"/>
      <c r="BN6" s="7" t="n"/>
      <c r="BO6" s="7" t="n"/>
      <c r="BP6" s="7" t="n"/>
      <c r="BQ6" s="19" t="n"/>
      <c r="BR6" s="18">
        <f>SUM(BF6:BQ6)</f>
        <v/>
      </c>
      <c r="BS6" s="20" t="n"/>
      <c r="BT6" s="7" t="n"/>
      <c r="BU6" s="7" t="n"/>
      <c r="BV6" s="7" t="n"/>
      <c r="BW6" s="19" t="n"/>
      <c r="BX6" s="7" t="n"/>
      <c r="BY6" s="7" t="n"/>
      <c r="BZ6" s="7" t="n"/>
      <c r="CA6" s="19" t="n"/>
      <c r="CB6" s="7" t="n"/>
      <c r="CC6" s="7" t="n"/>
      <c r="CD6" s="7" t="n"/>
      <c r="CE6" s="19" t="n"/>
      <c r="CF6" s="18">
        <f>SUM(BT6:CE6)</f>
        <v/>
      </c>
      <c r="CG6" s="20" t="n"/>
      <c r="CH6" s="7" t="n"/>
      <c r="CI6" s="7" t="n"/>
      <c r="CJ6" s="7" t="n"/>
      <c r="CK6" s="19" t="n"/>
      <c r="CL6" s="7" t="n"/>
      <c r="CM6" s="7" t="n"/>
      <c r="CN6" s="7" t="n"/>
      <c r="CO6" s="19" t="n"/>
      <c r="CP6" s="7" t="n"/>
      <c r="CQ6" s="7" t="n"/>
      <c r="CR6" s="7" t="n"/>
      <c r="CS6" s="19" t="n"/>
      <c r="CT6" s="18">
        <f>SUM(CH6:CS6)</f>
        <v/>
      </c>
      <c r="CU6" s="20" t="n"/>
      <c r="CV6" s="7" t="n"/>
      <c r="CW6" s="7" t="n"/>
      <c r="CX6" s="7" t="n"/>
      <c r="CY6" s="19" t="n"/>
      <c r="CZ6" s="7" t="n"/>
      <c r="DA6" s="7" t="n"/>
      <c r="DB6" s="7" t="n"/>
      <c r="DC6" s="19" t="n"/>
      <c r="DD6" s="7" t="n"/>
      <c r="DE6" s="7" t="n"/>
      <c r="DF6" s="7" t="n"/>
      <c r="DG6" s="19" t="n"/>
      <c r="DH6" s="18">
        <f>SUM(CV6:DG6)</f>
        <v/>
      </c>
      <c r="DI6" s="20" t="n"/>
      <c r="DJ6" s="7" t="n"/>
      <c r="DK6" s="7" t="n"/>
      <c r="DL6" s="7" t="n"/>
      <c r="DM6" s="19" t="n"/>
      <c r="DN6" s="7" t="n"/>
      <c r="DO6" s="7" t="n"/>
      <c r="DP6" s="7" t="n"/>
      <c r="DQ6" s="19" t="n"/>
      <c r="DR6" s="7" t="n"/>
      <c r="DS6" s="7" t="n"/>
      <c r="DT6" s="7" t="n"/>
      <c r="DU6" s="19" t="n"/>
      <c r="DV6" s="18">
        <f>SUM(DJ6:DU6)</f>
        <v/>
      </c>
      <c r="DW6" s="20" t="n"/>
      <c r="DX6" s="7" t="n"/>
      <c r="DY6" s="7" t="n"/>
      <c r="DZ6" s="7" t="n"/>
      <c r="EA6" s="19" t="n"/>
      <c r="EB6" s="7" t="n"/>
      <c r="EC6" s="7" t="n"/>
      <c r="ED6" s="7" t="n"/>
      <c r="EE6" s="19" t="n"/>
      <c r="EF6" s="7" t="n"/>
      <c r="EG6" s="7" t="n"/>
      <c r="EH6" s="7" t="n"/>
      <c r="EI6" s="19" t="n"/>
      <c r="EJ6" s="18">
        <f>SUM(DX6:EI6)</f>
        <v/>
      </c>
      <c r="EK6" s="20" t="n"/>
      <c r="EL6" s="7" t="n"/>
      <c r="EM6" s="7" t="n"/>
      <c r="EN6" s="7" t="n"/>
      <c r="EO6" s="19" t="n"/>
      <c r="EP6" s="7" t="n"/>
      <c r="EQ6" s="7" t="n"/>
      <c r="ER6" s="7" t="n"/>
      <c r="ES6" s="19" t="n"/>
      <c r="ET6" s="7" t="n"/>
      <c r="EU6" s="7" t="n"/>
      <c r="EV6" s="7" t="n"/>
      <c r="EW6" s="19" t="n"/>
      <c r="EX6" s="18">
        <f>SUM(EL6:EW6)</f>
        <v/>
      </c>
      <c r="EY6" s="20" t="n"/>
      <c r="EZ6" s="7" t="n"/>
      <c r="FA6" s="7" t="n"/>
      <c r="FB6" s="7" t="n"/>
      <c r="FC6" s="19" t="n"/>
      <c r="FD6" s="7" t="n"/>
      <c r="FE6" s="7" t="n"/>
      <c r="FF6" s="7" t="n"/>
      <c r="FG6" s="19" t="n"/>
      <c r="FH6" s="7" t="n"/>
      <c r="FI6" s="7" t="n"/>
      <c r="FJ6" s="7" t="n"/>
      <c r="FK6" s="19" t="n"/>
      <c r="FL6" s="18">
        <f>SUM(EZ6:FK6)</f>
        <v/>
      </c>
      <c r="FM6" s="20" t="n"/>
      <c r="FN6" s="7" t="n"/>
      <c r="FO6" s="7" t="n"/>
      <c r="FP6" s="7" t="n"/>
      <c r="FQ6" s="19" t="n"/>
      <c r="FR6" s="7" t="n"/>
      <c r="FS6" s="7" t="n"/>
      <c r="FT6" s="7" t="n"/>
      <c r="FU6" s="19" t="n"/>
      <c r="FV6" s="7" t="n"/>
      <c r="FW6" s="7" t="n"/>
      <c r="FX6" s="7" t="n"/>
      <c r="FY6" s="19" t="n"/>
      <c r="FZ6" s="18">
        <f>SUM(FN6:FY6)</f>
        <v/>
      </c>
      <c r="GA6" s="20" t="n"/>
      <c r="GB6" s="7" t="n"/>
      <c r="GC6" s="7" t="n"/>
      <c r="GD6" s="7" t="n"/>
      <c r="GE6" s="19" t="n"/>
      <c r="GF6" s="7" t="n"/>
      <c r="GG6" s="7" t="n"/>
      <c r="GH6" s="7" t="n"/>
      <c r="GI6" s="19" t="n"/>
      <c r="GJ6" s="7" t="n"/>
      <c r="GK6" s="7" t="n"/>
      <c r="GL6" s="7" t="n"/>
      <c r="GM6" s="19" t="n"/>
      <c r="GN6" s="18">
        <f>SUM(GB6:GM6)</f>
        <v/>
      </c>
      <c r="GO6" s="20" t="n"/>
      <c r="GP6" s="7" t="n"/>
      <c r="GQ6" s="7" t="n"/>
      <c r="GR6" s="7" t="n"/>
      <c r="GS6" s="19" t="n"/>
      <c r="GT6" s="7" t="n"/>
      <c r="GU6" s="7" t="n"/>
      <c r="GV6" s="7" t="n"/>
      <c r="GW6" s="19" t="n"/>
      <c r="GX6" s="7" t="n"/>
      <c r="GY6" s="7" t="n"/>
      <c r="GZ6" s="7" t="n"/>
      <c r="HA6" s="19" t="n"/>
      <c r="HB6" s="18">
        <f>SUM(GP6:HA6)</f>
        <v/>
      </c>
      <c r="HC6" s="20" t="n"/>
      <c r="HD6" s="7" t="n"/>
      <c r="HE6" s="7" t="n"/>
      <c r="HF6" s="7" t="n"/>
      <c r="HG6" s="19" t="n"/>
      <c r="HH6" s="7" t="n"/>
      <c r="HI6" s="7" t="n"/>
      <c r="HJ6" s="7" t="n"/>
      <c r="HK6" s="19" t="n"/>
      <c r="HL6" s="7" t="n"/>
      <c r="HM6" s="7" t="n"/>
      <c r="HN6" s="7" t="n"/>
      <c r="HO6" s="19" t="n"/>
      <c r="HP6" s="18">
        <f>SUM(HD6:HO6)</f>
        <v/>
      </c>
      <c r="HQ6" s="20" t="n"/>
      <c r="HR6" s="7" t="n"/>
      <c r="HS6" s="7" t="n"/>
      <c r="HT6" s="7" t="n"/>
      <c r="HU6" s="19" t="n"/>
      <c r="HV6" s="7" t="n"/>
      <c r="HW6" s="7" t="n"/>
      <c r="HX6" s="7" t="n"/>
      <c r="HY6" s="19" t="n"/>
      <c r="HZ6" s="7" t="n"/>
      <c r="IA6" s="7" t="n"/>
      <c r="IB6" s="7" t="n"/>
      <c r="IC6" s="19" t="n"/>
      <c r="ID6" s="18">
        <f>SUM(HR6:IC6)</f>
        <v/>
      </c>
      <c r="IE6" s="20" t="n"/>
      <c r="IF6" s="7" t="n"/>
      <c r="IG6" s="7" t="n"/>
      <c r="IH6" s="7" t="n"/>
      <c r="II6" s="19" t="n"/>
      <c r="IJ6" s="7" t="n"/>
      <c r="IK6" s="7" t="n"/>
      <c r="IL6" s="7" t="n"/>
      <c r="IM6" s="19" t="n"/>
      <c r="IN6" s="7" t="n"/>
      <c r="IO6" s="7" t="n"/>
      <c r="IP6" s="7" t="n"/>
      <c r="IQ6" s="19" t="n"/>
      <c r="IR6" s="18">
        <f>SUM(IF6:IQ6)</f>
        <v/>
      </c>
      <c r="IS6" s="20" t="n"/>
      <c r="IT6" s="7" t="n"/>
      <c r="IU6" s="7" t="n"/>
      <c r="IV6" s="7" t="n"/>
      <c r="IW6" s="19" t="n"/>
      <c r="IX6" s="7" t="n"/>
      <c r="IY6" s="7" t="n"/>
      <c r="IZ6" s="7" t="n"/>
      <c r="JA6" s="19" t="n"/>
      <c r="JB6" s="7" t="n"/>
      <c r="JC6" s="7" t="n"/>
      <c r="JD6" s="7" t="n"/>
      <c r="JE6" s="19" t="n"/>
      <c r="JF6" s="18">
        <f>SUM(IT6:JE6)</f>
        <v/>
      </c>
      <c r="JG6" s="20" t="n"/>
      <c r="JH6" s="7" t="n"/>
      <c r="JI6" s="7" t="n"/>
      <c r="JJ6" s="7" t="n"/>
      <c r="JK6" s="19" t="n"/>
      <c r="JL6" s="7" t="n"/>
      <c r="JM6" s="7" t="n"/>
      <c r="JN6" s="7" t="n"/>
      <c r="JO6" s="19" t="n"/>
      <c r="JP6" s="7" t="n"/>
      <c r="JQ6" s="7" t="n"/>
      <c r="JR6" s="7" t="n"/>
      <c r="JS6" s="19" t="n"/>
      <c r="JT6" s="18">
        <f>SUM(JH6:JS6)</f>
        <v/>
      </c>
      <c r="JU6" s="20" t="n"/>
      <c r="JV6" s="7" t="n"/>
      <c r="JW6" s="7" t="n"/>
      <c r="JX6" s="7" t="n"/>
      <c r="JY6" s="19" t="n"/>
      <c r="JZ6" s="7" t="n"/>
      <c r="KA6" s="7" t="n"/>
      <c r="KB6" s="7" t="n"/>
      <c r="KC6" s="19" t="n"/>
      <c r="KD6" s="7" t="n"/>
      <c r="KE6" s="7" t="n"/>
      <c r="KF6" s="7" t="n"/>
      <c r="KG6" s="19" t="n"/>
      <c r="KH6" s="18">
        <f>SUM(JV6:KG6)</f>
        <v/>
      </c>
      <c r="KI6" s="20" t="n"/>
      <c r="KJ6" s="7" t="n"/>
      <c r="KK6" s="7" t="n"/>
      <c r="KL6" s="7" t="n"/>
      <c r="KM6" s="19" t="n"/>
      <c r="KN6" s="7" t="n"/>
      <c r="KO6" s="7" t="n"/>
      <c r="KP6" s="7" t="n"/>
      <c r="KQ6" s="19" t="n"/>
      <c r="KR6" s="7" t="n"/>
      <c r="KS6" s="7" t="n"/>
      <c r="KT6" s="7" t="n"/>
      <c r="KU6" s="19" t="n"/>
      <c r="KV6" s="18">
        <f>SUM(KJ6:KU6)</f>
        <v/>
      </c>
      <c r="KW6" s="20" t="n"/>
      <c r="KX6" s="79" t="n"/>
      <c r="KY6" s="76" t="n"/>
    </row>
    <row r="7" ht="14.25" customFormat="1" customHeight="1" s="10">
      <c r="A7" s="17" t="inlineStr">
        <is>
          <t>1.4 เพราะ Mer แจ้งว่า Market Share น้อยเกินไป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18">
        <f>SUM(B7:M7)</f>
        <v/>
      </c>
      <c r="O7" s="18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18">
        <f>SUM(P7:AA7)</f>
        <v/>
      </c>
      <c r="AC7" s="18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18">
        <f>SUM(AD7:AO7)</f>
        <v/>
      </c>
      <c r="AQ7" s="18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18">
        <f>SUM(AR7:BC7)</f>
        <v/>
      </c>
      <c r="BE7" s="18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18">
        <f>SUM(BF7:BQ7)</f>
        <v/>
      </c>
      <c r="BS7" s="18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18">
        <f>SUM(BT7:CE7)</f>
        <v/>
      </c>
      <c r="CG7" s="18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18">
        <f>SUM(CH7:CS7)</f>
        <v/>
      </c>
      <c r="CU7" s="18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18">
        <f>SUM(CV7:DG7)</f>
        <v/>
      </c>
      <c r="DI7" s="18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18">
        <f>SUM(DJ7:DU7)</f>
        <v/>
      </c>
      <c r="DW7" s="18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18">
        <f>SUM(DX7:EI7)</f>
        <v/>
      </c>
      <c r="EK7" s="18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18">
        <f>SUM(EL7:EW7)</f>
        <v/>
      </c>
      <c r="EY7" s="18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18">
        <f>SUM(EZ7:FK7)</f>
        <v/>
      </c>
      <c r="FM7" s="18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18">
        <f>SUM(FN7:FY7)</f>
        <v/>
      </c>
      <c r="GA7" s="18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18">
        <f>SUM(GB7:GM7)</f>
        <v/>
      </c>
      <c r="GO7" s="18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18">
        <f>SUM(GP7:HA7)</f>
        <v/>
      </c>
      <c r="HC7" s="18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18">
        <f>SUM(HD7:HO7)</f>
        <v/>
      </c>
      <c r="HQ7" s="18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18">
        <f>SUM(HR7:IC7)</f>
        <v/>
      </c>
      <c r="IE7" s="18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18">
        <f>SUM(IF7:IQ7)</f>
        <v/>
      </c>
      <c r="IS7" s="18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18">
        <f>SUM(IT7:JE7)</f>
        <v/>
      </c>
      <c r="JG7" s="18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18">
        <f>SUM(JH7:JS7)</f>
        <v/>
      </c>
      <c r="JU7" s="18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18">
        <f>SUM(JV7:KG7)</f>
        <v/>
      </c>
      <c r="KI7" s="18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18">
        <f>SUM(KJ7:KU7)</f>
        <v/>
      </c>
      <c r="KW7" s="18" t="n"/>
      <c r="KX7" s="783" t="n"/>
      <c r="KY7" s="76" t="n"/>
    </row>
    <row r="8" ht="14.25" customFormat="1" customHeight="1" s="10">
      <c r="A8" s="17" t="inlineStr">
        <is>
          <t>1.5 ใกล้เคียงกับสินค้าที่จำหน่าย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18">
        <f>SUM(B8:M8)</f>
        <v/>
      </c>
      <c r="O8" s="18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18">
        <f>SUM(P8:AA8)</f>
        <v/>
      </c>
      <c r="AC8" s="18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18">
        <f>SUM(AD8:AO8)</f>
        <v/>
      </c>
      <c r="AQ8" s="18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18">
        <f>SUM(AR8:BC8)</f>
        <v/>
      </c>
      <c r="BE8" s="18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18">
        <f>SUM(BF8:BQ8)</f>
        <v/>
      </c>
      <c r="BS8" s="18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18">
        <f>SUM(BT8:CE8)</f>
        <v/>
      </c>
      <c r="CG8" s="18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18">
        <f>SUM(CH8:CS8)</f>
        <v/>
      </c>
      <c r="CU8" s="18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18">
        <f>SUM(CV8:DG8)</f>
        <v/>
      </c>
      <c r="DI8" s="18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18">
        <f>SUM(DJ8:DU8)</f>
        <v/>
      </c>
      <c r="DW8" s="18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18">
        <f>SUM(DX8:EI8)</f>
        <v/>
      </c>
      <c r="EK8" s="18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18">
        <f>SUM(EL8:EW8)</f>
        <v/>
      </c>
      <c r="EY8" s="18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18">
        <f>SUM(EZ8:FK8)</f>
        <v/>
      </c>
      <c r="FM8" s="18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18">
        <f>SUM(FN8:FY8)</f>
        <v/>
      </c>
      <c r="GA8" s="18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18">
        <f>SUM(GB8:GM8)</f>
        <v/>
      </c>
      <c r="GO8" s="18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18">
        <f>SUM(GP8:HA8)</f>
        <v/>
      </c>
      <c r="HC8" s="18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18">
        <f>SUM(HD8:HO8)</f>
        <v/>
      </c>
      <c r="HQ8" s="18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18">
        <f>SUM(HR8:IC8)</f>
        <v/>
      </c>
      <c r="IE8" s="18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18">
        <f>SUM(IF8:IQ8)</f>
        <v/>
      </c>
      <c r="IS8" s="18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18">
        <f>SUM(IT8:JE8)</f>
        <v/>
      </c>
      <c r="JG8" s="18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18">
        <f>SUM(JH8:JS8)</f>
        <v/>
      </c>
      <c r="JU8" s="18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18">
        <f>SUM(JV8:KG8)</f>
        <v/>
      </c>
      <c r="KI8" s="18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18">
        <f>SUM(KJ8:KU8)</f>
        <v/>
      </c>
      <c r="KW8" s="18" t="n"/>
      <c r="KX8" s="783" t="n"/>
      <c r="KY8" s="76" t="n"/>
    </row>
    <row r="9" ht="14.25" customFormat="1" customHeight="1" s="10">
      <c r="A9" s="17" t="inlineStr">
        <is>
          <t>1.6 ราคาขายปลีกสูงเกินไป ไม่สามารถจำหน่ายได้ตามต้นทุน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18">
        <f>SUM(B9:M9)</f>
        <v/>
      </c>
      <c r="O9" s="18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18">
        <f>SUM(P9:AA9)</f>
        <v/>
      </c>
      <c r="AC9" s="18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18">
        <f>SUM(AD9:AO9)</f>
        <v/>
      </c>
      <c r="AQ9" s="18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18">
        <f>SUM(AR9:BC9)</f>
        <v/>
      </c>
      <c r="BE9" s="18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18">
        <f>SUM(BF9:BQ9)</f>
        <v/>
      </c>
      <c r="BS9" s="18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18">
        <f>SUM(BT9:CE9)</f>
        <v/>
      </c>
      <c r="CG9" s="18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18">
        <f>SUM(CH9:CS9)</f>
        <v/>
      </c>
      <c r="CU9" s="18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18">
        <f>SUM(CV9:DG9)</f>
        <v/>
      </c>
      <c r="DI9" s="18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18">
        <f>SUM(DJ9:DU9)</f>
        <v/>
      </c>
      <c r="DW9" s="18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18">
        <f>SUM(DX9:EI9)</f>
        <v/>
      </c>
      <c r="EK9" s="18" t="n"/>
      <c r="EL9" s="7" t="n"/>
      <c r="EM9" s="7" t="n"/>
      <c r="EN9" s="7" t="n"/>
      <c r="EO9" s="7" t="n"/>
      <c r="EP9" s="7" t="n"/>
      <c r="EQ9" s="7" t="n"/>
      <c r="ER9" s="7" t="n">
        <v>1</v>
      </c>
      <c r="ES9" s="7" t="n"/>
      <c r="ET9" s="7" t="n"/>
      <c r="EU9" s="7" t="n"/>
      <c r="EV9" s="7" t="n"/>
      <c r="EW9" s="7" t="n"/>
      <c r="EX9" s="18">
        <f>SUM(EL9:EW9)</f>
        <v/>
      </c>
      <c r="EY9" s="18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18">
        <f>SUM(EZ9:FK9)</f>
        <v/>
      </c>
      <c r="FM9" s="18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18">
        <f>SUM(FN9:FY9)</f>
        <v/>
      </c>
      <c r="GA9" s="18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18">
        <f>SUM(GB9:GM9)</f>
        <v/>
      </c>
      <c r="GO9" s="18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18">
        <f>SUM(GP9:HA9)</f>
        <v/>
      </c>
      <c r="HC9" s="18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18">
        <f>SUM(HD9:HO9)</f>
        <v/>
      </c>
      <c r="HQ9" s="18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18">
        <f>SUM(HR9:IC9)</f>
        <v/>
      </c>
      <c r="IE9" s="18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18">
        <f>SUM(IF9:IQ9)</f>
        <v/>
      </c>
      <c r="IS9" s="18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18">
        <f>SUM(IT9:JE9)</f>
        <v/>
      </c>
      <c r="JG9" s="18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18">
        <f>SUM(JH9:JS9)</f>
        <v/>
      </c>
      <c r="JU9" s="18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18">
        <f>SUM(JV9:KG9)</f>
        <v/>
      </c>
      <c r="KI9" s="18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18">
        <f>SUM(KJ9:KU9)</f>
        <v/>
      </c>
      <c r="KW9" s="18" t="n"/>
      <c r="KX9" s="783" t="n"/>
      <c r="KY9" s="76" t="n"/>
    </row>
    <row r="10" ht="14.25" customFormat="1" customHeight="1" s="57">
      <c r="A10" s="53" t="inlineStr">
        <is>
          <t xml:space="preserve">2.มี Concept จากลูกค้ามาให้ แต่เสนอ Concept แล้วไม่ผ่าน 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5">
        <f>SUM(B10:M10)</f>
        <v/>
      </c>
      <c r="O10" s="56">
        <f>N10/N$46%</f>
        <v/>
      </c>
      <c r="P10" s="54" t="n"/>
      <c r="Q10" s="54" t="n"/>
      <c r="R10" s="54" t="n"/>
      <c r="S10" s="54" t="n"/>
      <c r="T10" s="54" t="n"/>
      <c r="U10" s="54" t="n"/>
      <c r="V10" s="54" t="n"/>
      <c r="W10" s="54" t="n"/>
      <c r="X10" s="54" t="n"/>
      <c r="Y10" s="54" t="n"/>
      <c r="Z10" s="54" t="n"/>
      <c r="AA10" s="54" t="n"/>
      <c r="AB10" s="55">
        <f>SUM(P10:AA10)</f>
        <v/>
      </c>
      <c r="AC10" s="56">
        <f>AB10/AB$46%</f>
        <v/>
      </c>
      <c r="AD10" s="54" t="n"/>
      <c r="AE10" s="54" t="n"/>
      <c r="AF10" s="54" t="n"/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5">
        <f>SUM(AD10:AO10)</f>
        <v/>
      </c>
      <c r="AQ10" s="56">
        <f>AP10/AP$46%</f>
        <v/>
      </c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5">
        <f>SUM(AR10:BC10)</f>
        <v/>
      </c>
      <c r="BE10" s="56">
        <f>BD10/BD$46%</f>
        <v/>
      </c>
      <c r="BF10" s="54" t="n"/>
      <c r="BG10" s="54" t="n"/>
      <c r="BH10" s="54" t="n"/>
      <c r="BI10" s="54" t="n"/>
      <c r="BJ10" s="54" t="n"/>
      <c r="BK10" s="54" t="n"/>
      <c r="BL10" s="54" t="n"/>
      <c r="BM10" s="54" t="n"/>
      <c r="BN10" s="54" t="n"/>
      <c r="BO10" s="54" t="n"/>
      <c r="BP10" s="54" t="n"/>
      <c r="BQ10" s="54" t="n"/>
      <c r="BR10" s="55">
        <f>SUM(BF10:BQ10)</f>
        <v/>
      </c>
      <c r="BS10" s="56">
        <f>BR10/BR$46%</f>
        <v/>
      </c>
      <c r="BT10" s="54" t="n"/>
      <c r="BU10" s="54" t="n"/>
      <c r="BV10" s="54" t="n"/>
      <c r="BW10" s="54" t="n"/>
      <c r="BX10" s="54" t="n"/>
      <c r="BY10" s="54" t="n"/>
      <c r="BZ10" s="54" t="n"/>
      <c r="CA10" s="54" t="n"/>
      <c r="CB10" s="54" t="n"/>
      <c r="CC10" s="54" t="n"/>
      <c r="CD10" s="54" t="n"/>
      <c r="CE10" s="54" t="n"/>
      <c r="CF10" s="55">
        <f>SUM(BT10:CE10)</f>
        <v/>
      </c>
      <c r="CG10" s="56">
        <f>CF10/CF$46%</f>
        <v/>
      </c>
      <c r="CH10" s="54" t="n"/>
      <c r="CI10" s="54" t="n"/>
      <c r="CJ10" s="54" t="n"/>
      <c r="CK10" s="54" t="n"/>
      <c r="CL10" s="54" t="n"/>
      <c r="CM10" s="54" t="n"/>
      <c r="CN10" s="54" t="n"/>
      <c r="CO10" s="54" t="n"/>
      <c r="CP10" s="54" t="n"/>
      <c r="CQ10" s="54" t="n"/>
      <c r="CR10" s="54" t="n"/>
      <c r="CS10" s="54" t="n"/>
      <c r="CT10" s="55">
        <f>SUM(CH10:CS10)</f>
        <v/>
      </c>
      <c r="CU10" s="56">
        <f>CT10/CT$46%</f>
        <v/>
      </c>
      <c r="CV10" s="54" t="n"/>
      <c r="CW10" s="54" t="n"/>
      <c r="CX10" s="54" t="n"/>
      <c r="CY10" s="54" t="n"/>
      <c r="CZ10" s="54" t="n"/>
      <c r="DA10" s="54" t="n"/>
      <c r="DB10" s="54" t="n"/>
      <c r="DC10" s="54" t="n"/>
      <c r="DD10" s="54" t="n"/>
      <c r="DE10" s="54" t="n"/>
      <c r="DF10" s="54" t="n"/>
      <c r="DG10" s="54" t="n"/>
      <c r="DH10" s="55">
        <f>SUM(CV10:DG10)</f>
        <v/>
      </c>
      <c r="DI10" s="56">
        <f>DH10/DH$46%</f>
        <v/>
      </c>
      <c r="DJ10" s="54" t="n"/>
      <c r="DK10" s="54" t="n"/>
      <c r="DL10" s="54" t="n"/>
      <c r="DM10" s="54" t="n"/>
      <c r="DN10" s="54" t="n"/>
      <c r="DO10" s="54" t="n"/>
      <c r="DP10" s="54" t="n"/>
      <c r="DQ10" s="54" t="n"/>
      <c r="DR10" s="54" t="n"/>
      <c r="DS10" s="54" t="n"/>
      <c r="DT10" s="54" t="n"/>
      <c r="DU10" s="54" t="n"/>
      <c r="DV10" s="55">
        <f>SUM(DJ10:DU10)</f>
        <v/>
      </c>
      <c r="DW10" s="56">
        <f>DV10/DV$46%</f>
        <v/>
      </c>
      <c r="DX10" s="54" t="n"/>
      <c r="DY10" s="54" t="n"/>
      <c r="DZ10" s="54" t="n"/>
      <c r="EA10" s="54" t="n"/>
      <c r="EB10" s="54" t="n"/>
      <c r="EC10" s="54" t="n"/>
      <c r="ED10" s="54" t="n"/>
      <c r="EE10" s="54" t="n"/>
      <c r="EF10" s="54" t="n"/>
      <c r="EG10" s="54" t="n"/>
      <c r="EH10" s="54" t="n"/>
      <c r="EI10" s="54" t="n"/>
      <c r="EJ10" s="55">
        <f>SUM(DX10:EI10)</f>
        <v/>
      </c>
      <c r="EK10" s="56">
        <f>EJ10/EJ$46%</f>
        <v/>
      </c>
      <c r="EL10" s="54" t="n"/>
      <c r="EM10" s="54" t="n"/>
      <c r="EN10" s="54" t="n"/>
      <c r="EO10" s="54" t="n"/>
      <c r="EP10" s="54" t="n"/>
      <c r="EQ10" s="54" t="n"/>
      <c r="ER10" s="54" t="n">
        <v>2</v>
      </c>
      <c r="ES10" s="54" t="n"/>
      <c r="ET10" s="54" t="n"/>
      <c r="EU10" s="54" t="n"/>
      <c r="EV10" s="54" t="n"/>
      <c r="EW10" s="54" t="n"/>
      <c r="EX10" s="55">
        <f>SUM(EL10:EW10)</f>
        <v/>
      </c>
      <c r="EY10" s="56">
        <f>EX10/EX$46%</f>
        <v/>
      </c>
      <c r="EZ10" s="54" t="n"/>
      <c r="FA10" s="54" t="n"/>
      <c r="FB10" s="54" t="n"/>
      <c r="FC10" s="54" t="n"/>
      <c r="FD10" s="54" t="n"/>
      <c r="FE10" s="54" t="n"/>
      <c r="FF10" s="54" t="n"/>
      <c r="FG10" s="54" t="n"/>
      <c r="FH10" s="54" t="n"/>
      <c r="FI10" s="54" t="n"/>
      <c r="FJ10" s="54" t="n"/>
      <c r="FK10" s="54" t="n"/>
      <c r="FL10" s="55">
        <f>SUM(EZ10:FK10)</f>
        <v/>
      </c>
      <c r="FM10" s="56">
        <f>FL10/FL$46%</f>
        <v/>
      </c>
      <c r="FN10" s="54" t="n"/>
      <c r="FO10" s="54" t="n"/>
      <c r="FP10" s="54" t="n"/>
      <c r="FQ10" s="54" t="n"/>
      <c r="FR10" s="54" t="n"/>
      <c r="FS10" s="54" t="n"/>
      <c r="FT10" s="54" t="n"/>
      <c r="FU10" s="54" t="n"/>
      <c r="FV10" s="54" t="n"/>
      <c r="FW10" s="54" t="n"/>
      <c r="FX10" s="54" t="n"/>
      <c r="FY10" s="54" t="n"/>
      <c r="FZ10" s="55">
        <f>SUM(FN10:FY10)</f>
        <v/>
      </c>
      <c r="GA10" s="56">
        <f>FZ10/FZ$46%</f>
        <v/>
      </c>
      <c r="GB10" s="54" t="n"/>
      <c r="GC10" s="54" t="n"/>
      <c r="GD10" s="54" t="n"/>
      <c r="GE10" s="54" t="n"/>
      <c r="GF10" s="54" t="n"/>
      <c r="GG10" s="54" t="n"/>
      <c r="GH10" s="54" t="n"/>
      <c r="GI10" s="54" t="n"/>
      <c r="GJ10" s="54" t="n"/>
      <c r="GK10" s="54" t="n"/>
      <c r="GL10" s="54" t="n"/>
      <c r="GM10" s="54" t="n"/>
      <c r="GN10" s="55">
        <f>SUM(GB10:GM10)</f>
        <v/>
      </c>
      <c r="GO10" s="56">
        <f>GN10/GN$46%</f>
        <v/>
      </c>
      <c r="GP10" s="54" t="n"/>
      <c r="GQ10" s="54" t="n"/>
      <c r="GR10" s="54" t="n"/>
      <c r="GS10" s="54" t="n"/>
      <c r="GT10" s="54" t="n"/>
      <c r="GU10" s="54" t="n"/>
      <c r="GV10" s="54" t="n"/>
      <c r="GW10" s="54" t="n"/>
      <c r="GX10" s="54" t="n"/>
      <c r="GY10" s="54" t="n"/>
      <c r="GZ10" s="54" t="n"/>
      <c r="HA10" s="54" t="n"/>
      <c r="HB10" s="55">
        <f>SUM(GP10:HA10)</f>
        <v/>
      </c>
      <c r="HC10" s="56">
        <f>HB10/HB$46%</f>
        <v/>
      </c>
      <c r="HD10" s="54" t="n"/>
      <c r="HE10" s="54" t="n"/>
      <c r="HF10" s="54" t="n"/>
      <c r="HG10" s="54" t="n"/>
      <c r="HH10" s="54" t="n"/>
      <c r="HI10" s="54" t="n"/>
      <c r="HJ10" s="54" t="n"/>
      <c r="HK10" s="54" t="n"/>
      <c r="HL10" s="54" t="n"/>
      <c r="HM10" s="54" t="n"/>
      <c r="HN10" s="54" t="n"/>
      <c r="HO10" s="54" t="n"/>
      <c r="HP10" s="55">
        <f>SUM(HD10:HO10)</f>
        <v/>
      </c>
      <c r="HQ10" s="56">
        <f>HP10/HP$46%</f>
        <v/>
      </c>
      <c r="HR10" s="54" t="n"/>
      <c r="HS10" s="54" t="n"/>
      <c r="HT10" s="54" t="n"/>
      <c r="HU10" s="54" t="n"/>
      <c r="HV10" s="54" t="n"/>
      <c r="HW10" s="54" t="n"/>
      <c r="HX10" s="54" t="n"/>
      <c r="HY10" s="54" t="n"/>
      <c r="HZ10" s="54" t="n"/>
      <c r="IA10" s="54" t="n"/>
      <c r="IB10" s="54" t="n"/>
      <c r="IC10" s="54" t="n"/>
      <c r="ID10" s="55">
        <f>SUM(HR10:IC10)</f>
        <v/>
      </c>
      <c r="IE10" s="56">
        <f>ID10/ID$46%</f>
        <v/>
      </c>
      <c r="IF10" s="54" t="n"/>
      <c r="IG10" s="54" t="n"/>
      <c r="IH10" s="54" t="n"/>
      <c r="II10" s="54" t="n"/>
      <c r="IJ10" s="54" t="n"/>
      <c r="IK10" s="54" t="n"/>
      <c r="IL10" s="54" t="n"/>
      <c r="IM10" s="54" t="n"/>
      <c r="IN10" s="54" t="n"/>
      <c r="IO10" s="54" t="n"/>
      <c r="IP10" s="54" t="n"/>
      <c r="IQ10" s="54" t="n"/>
      <c r="IR10" s="55">
        <f>SUM(IF10:IQ10)</f>
        <v/>
      </c>
      <c r="IS10" s="56">
        <f>IR10/IR$46%</f>
        <v/>
      </c>
      <c r="IT10" s="54" t="n"/>
      <c r="IU10" s="54" t="n"/>
      <c r="IV10" s="54" t="n"/>
      <c r="IW10" s="54" t="n"/>
      <c r="IX10" s="54" t="n"/>
      <c r="IY10" s="54" t="n"/>
      <c r="IZ10" s="54" t="n"/>
      <c r="JA10" s="54" t="n"/>
      <c r="JB10" s="54" t="n"/>
      <c r="JC10" s="54" t="n"/>
      <c r="JD10" s="54" t="n"/>
      <c r="JE10" s="54" t="n"/>
      <c r="JF10" s="55">
        <f>SUM(IT10:JE10)</f>
        <v/>
      </c>
      <c r="JG10" s="56">
        <f>JF10/JF$46%</f>
        <v/>
      </c>
      <c r="JH10" s="54" t="n"/>
      <c r="JI10" s="54" t="n"/>
      <c r="JJ10" s="54" t="n"/>
      <c r="JK10" s="54" t="n"/>
      <c r="JL10" s="54" t="n"/>
      <c r="JM10" s="54" t="n"/>
      <c r="JN10" s="54" t="n">
        <v>3</v>
      </c>
      <c r="JO10" s="54" t="n"/>
      <c r="JP10" s="54" t="n"/>
      <c r="JQ10" s="54" t="n"/>
      <c r="JR10" s="54" t="n"/>
      <c r="JS10" s="54" t="n"/>
      <c r="JT10" s="55">
        <f>SUM(JH10:JS10)</f>
        <v/>
      </c>
      <c r="JU10" s="56">
        <f>JT10/JT$46%</f>
        <v/>
      </c>
      <c r="JV10" s="54" t="n"/>
      <c r="JW10" s="54" t="n"/>
      <c r="JX10" s="54" t="n">
        <v>10</v>
      </c>
      <c r="JY10" s="54" t="n">
        <v>4</v>
      </c>
      <c r="JZ10" s="54" t="n"/>
      <c r="KA10" s="54" t="n">
        <v>3</v>
      </c>
      <c r="KB10" s="54" t="n"/>
      <c r="KC10" s="54" t="n"/>
      <c r="KD10" s="54" t="n"/>
      <c r="KE10" s="54" t="n"/>
      <c r="KF10" s="54" t="n"/>
      <c r="KG10" s="54" t="n"/>
      <c r="KH10" s="55">
        <f>SUM(JV10:KG10)</f>
        <v/>
      </c>
      <c r="KI10" s="56">
        <f>KH10/KH$46%</f>
        <v/>
      </c>
      <c r="KJ10" s="54" t="n"/>
      <c r="KK10" s="54" t="n">
        <v>2</v>
      </c>
      <c r="KL10" s="54" t="n">
        <v>6</v>
      </c>
      <c r="KM10" s="54" t="n">
        <v>1</v>
      </c>
      <c r="KN10" s="54" t="n">
        <v>9</v>
      </c>
      <c r="KO10" s="54" t="n"/>
      <c r="KP10" s="54" t="n"/>
      <c r="KQ10" s="54" t="n"/>
      <c r="KR10" s="54" t="n"/>
      <c r="KS10" s="54" t="n"/>
      <c r="KT10" s="54" t="n"/>
      <c r="KU10" s="54" t="n"/>
      <c r="KV10" s="55">
        <f>SUM(KJ10:KU10)</f>
        <v/>
      </c>
      <c r="KW10" s="56">
        <f>KV10/KV$46%</f>
        <v/>
      </c>
      <c r="KX10" s="78">
        <f>N10+AB10+AP10+BD10+BR10+CF10+CT10+DH10+DV10+EJ10+EX10+FZ10+GN10+HB10+HP10+ID10+IR10+JF10+KH10+KV10+JT10</f>
        <v/>
      </c>
      <c r="KY10" s="78">
        <f>KX10/KX$46%</f>
        <v/>
      </c>
    </row>
    <row r="11" ht="14.25" customFormat="1" customHeight="1" s="10">
      <c r="A11" s="17" t="inlineStr">
        <is>
          <t>2.1 เพราะสินค้าไม่ตรง Concept ที่ Mer หรือ ลูกค้า อยากได้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18">
        <f>SUM(B11:M11)</f>
        <v/>
      </c>
      <c r="O11" s="18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18">
        <f>SUM(P11:AA11)</f>
        <v/>
      </c>
      <c r="AC11" s="18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18">
        <f>SUM(AD11:AO11)</f>
        <v/>
      </c>
      <c r="AQ11" s="18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18">
        <f>SUM(AR11:BC11)</f>
        <v/>
      </c>
      <c r="BE11" s="18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18">
        <f>SUM(BF11:BQ11)</f>
        <v/>
      </c>
      <c r="BS11" s="18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18">
        <f>SUM(BT11:CE11)</f>
        <v/>
      </c>
      <c r="CG11" s="18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18">
        <f>SUM(CH11:CS11)</f>
        <v/>
      </c>
      <c r="CU11" s="18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18">
        <f>SUM(CV11:DG11)</f>
        <v/>
      </c>
      <c r="DI11" s="18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18">
        <f>SUM(DJ11:DU11)</f>
        <v/>
      </c>
      <c r="DW11" s="18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18">
        <f>SUM(DX11:EI11)</f>
        <v/>
      </c>
      <c r="EK11" s="18" t="n"/>
      <c r="EL11" s="7" t="n"/>
      <c r="EM11" s="7" t="n"/>
      <c r="EN11" s="7" t="n"/>
      <c r="EO11" s="7" t="n"/>
      <c r="EP11" s="7" t="n"/>
      <c r="EQ11" s="7" t="n"/>
      <c r="ER11" s="7" t="n">
        <v>2</v>
      </c>
      <c r="ES11" s="7" t="n"/>
      <c r="ET11" s="7" t="n"/>
      <c r="EU11" s="7" t="n"/>
      <c r="EV11" s="7" t="n"/>
      <c r="EW11" s="7" t="n"/>
      <c r="EX11" s="18">
        <f>SUM(EL11:EW11)</f>
        <v/>
      </c>
      <c r="EY11" s="18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18">
        <f>SUM(EZ11:FK11)</f>
        <v/>
      </c>
      <c r="FM11" s="18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18">
        <f>SUM(FN11:FY11)</f>
        <v/>
      </c>
      <c r="GA11" s="18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18">
        <f>SUM(GB11:GM11)</f>
        <v/>
      </c>
      <c r="GO11" s="18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18">
        <f>SUM(GP11:HA11)</f>
        <v/>
      </c>
      <c r="HC11" s="18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18">
        <f>SUM(HD11:HO11)</f>
        <v/>
      </c>
      <c r="HQ11" s="18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18">
        <f>SUM(HR11:IC11)</f>
        <v/>
      </c>
      <c r="IE11" s="18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18">
        <f>SUM(IF11:IQ11)</f>
        <v/>
      </c>
      <c r="IS11" s="18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18">
        <f>SUM(IT11:JE11)</f>
        <v/>
      </c>
      <c r="JG11" s="18" t="n"/>
      <c r="JH11" s="7" t="n"/>
      <c r="JI11" s="7" t="n"/>
      <c r="JJ11" s="7" t="n"/>
      <c r="JK11" s="7" t="n"/>
      <c r="JL11" s="7" t="n"/>
      <c r="JM11" s="7" t="n"/>
      <c r="JN11" s="7" t="n">
        <v>3</v>
      </c>
      <c r="JO11" s="7" t="n"/>
      <c r="JP11" s="7" t="n"/>
      <c r="JQ11" s="7" t="n"/>
      <c r="JR11" s="7" t="n"/>
      <c r="JS11" s="7" t="n"/>
      <c r="JT11" s="18">
        <f>SUM(JH11:JS11)</f>
        <v/>
      </c>
      <c r="JU11" s="18" t="n"/>
      <c r="JV11" s="7" t="n"/>
      <c r="JW11" s="7" t="n"/>
      <c r="JX11" s="7" t="n">
        <v>10</v>
      </c>
      <c r="JY11" s="7" t="n">
        <v>4</v>
      </c>
      <c r="JZ11" s="7" t="n"/>
      <c r="KA11" s="7" t="n">
        <v>3</v>
      </c>
      <c r="KB11" s="7" t="n"/>
      <c r="KC11" s="7" t="n"/>
      <c r="KD11" s="7" t="n"/>
      <c r="KE11" s="7" t="n"/>
      <c r="KF11" s="7" t="n"/>
      <c r="KG11" s="7" t="n"/>
      <c r="KH11" s="18">
        <f>SUM(JV11:KG11)</f>
        <v/>
      </c>
      <c r="KI11" s="18" t="n"/>
      <c r="KJ11" s="7" t="n"/>
      <c r="KK11" s="7" t="n">
        <v>2</v>
      </c>
      <c r="KL11" s="7" t="n">
        <v>6</v>
      </c>
      <c r="KM11" s="7" t="n">
        <v>1</v>
      </c>
      <c r="KN11" s="7" t="n">
        <v>9</v>
      </c>
      <c r="KO11" s="7" t="n"/>
      <c r="KP11" s="7" t="n"/>
      <c r="KQ11" s="7" t="n"/>
      <c r="KR11" s="7" t="n"/>
      <c r="KS11" s="7" t="n"/>
      <c r="KT11" s="7" t="n"/>
      <c r="KU11" s="7" t="n"/>
      <c r="KV11" s="18">
        <f>SUM(KJ11:KU11)</f>
        <v/>
      </c>
      <c r="KW11" s="18" t="n"/>
      <c r="KX11" s="783" t="n"/>
      <c r="KY11" s="76" t="n"/>
    </row>
    <row r="12" ht="14.25" customFormat="1" customHeight="1" s="10">
      <c r="A12" s="17" t="inlineStr">
        <is>
          <t>2.2 เพราะสินค้าไม่เหมือน BM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18">
        <f>SUM(B12:M12)</f>
        <v/>
      </c>
      <c r="O12" s="18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18">
        <f>SUM(P12:AA12)</f>
        <v/>
      </c>
      <c r="AC12" s="18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18">
        <f>SUM(AD12:AO12)</f>
        <v/>
      </c>
      <c r="AQ12" s="18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18">
        <f>SUM(AR12:BC12)</f>
        <v/>
      </c>
      <c r="BE12" s="18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18">
        <f>SUM(BF12:BQ12)</f>
        <v/>
      </c>
      <c r="BS12" s="18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18">
        <f>SUM(BT12:CE12)</f>
        <v/>
      </c>
      <c r="CG12" s="18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18">
        <f>SUM(CH12:CS12)</f>
        <v/>
      </c>
      <c r="CU12" s="18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18">
        <f>SUM(CV12:DG12)</f>
        <v/>
      </c>
      <c r="DI12" s="18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18">
        <f>SUM(DJ12:DU12)</f>
        <v/>
      </c>
      <c r="DW12" s="18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18">
        <f>SUM(DX12:EI12)</f>
        <v/>
      </c>
      <c r="EK12" s="18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18">
        <f>SUM(EL12:EW12)</f>
        <v/>
      </c>
      <c r="EY12" s="18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18">
        <f>SUM(EZ12:FK12)</f>
        <v/>
      </c>
      <c r="FM12" s="18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18">
        <f>SUM(FN12:FY12)</f>
        <v/>
      </c>
      <c r="GA12" s="18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18">
        <f>SUM(GB12:GM12)</f>
        <v/>
      </c>
      <c r="GO12" s="18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18">
        <f>SUM(GP12:HA12)</f>
        <v/>
      </c>
      <c r="HC12" s="18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18">
        <f>SUM(HD12:HO12)</f>
        <v/>
      </c>
      <c r="HQ12" s="18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18">
        <f>SUM(HR12:IC12)</f>
        <v/>
      </c>
      <c r="IE12" s="18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18">
        <f>SUM(IF12:IQ12)</f>
        <v/>
      </c>
      <c r="IS12" s="18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18">
        <f>SUM(IT12:JE12)</f>
        <v/>
      </c>
      <c r="JG12" s="18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18">
        <f>SUM(JH12:JS12)</f>
        <v/>
      </c>
      <c r="JU12" s="18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18">
        <f>SUM(JV12:KG12)</f>
        <v/>
      </c>
      <c r="KI12" s="18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18">
        <f>SUM(KJ12:KU12)</f>
        <v/>
      </c>
      <c r="KW12" s="18" t="n"/>
      <c r="KX12" s="783" t="n"/>
      <c r="KY12" s="76" t="n"/>
    </row>
    <row r="13" ht="14.25" customFormat="1" customHeight="1" s="10">
      <c r="A13" s="17" t="inlineStr">
        <is>
          <t>2.3 ใกล้เคียงกับสินค้าที่จำหน่าย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18">
        <f>SUM(B13:M13)</f>
        <v/>
      </c>
      <c r="O13" s="18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18">
        <f>SUM(P13:AA13)</f>
        <v/>
      </c>
      <c r="AC13" s="18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18">
        <f>SUM(AD13:AO13)</f>
        <v/>
      </c>
      <c r="AQ13" s="18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18">
        <f>SUM(AR13:BC13)</f>
        <v/>
      </c>
      <c r="BE13" s="18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18">
        <f>SUM(BF13:BQ13)</f>
        <v/>
      </c>
      <c r="BS13" s="18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18">
        <f>SUM(BT13:CE13)</f>
        <v/>
      </c>
      <c r="CG13" s="18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18">
        <f>SUM(CH13:CS13)</f>
        <v/>
      </c>
      <c r="CU13" s="18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18">
        <f>SUM(CV13:DG13)</f>
        <v/>
      </c>
      <c r="DI13" s="18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18">
        <f>SUM(DJ13:DU13)</f>
        <v/>
      </c>
      <c r="DW13" s="18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18">
        <f>SUM(DX13:EI13)</f>
        <v/>
      </c>
      <c r="EK13" s="18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18">
        <f>SUM(EL13:EW13)</f>
        <v/>
      </c>
      <c r="EY13" s="18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18">
        <f>SUM(EZ13:FK13)</f>
        <v/>
      </c>
      <c r="FM13" s="18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18">
        <f>SUM(FN13:FY13)</f>
        <v/>
      </c>
      <c r="GA13" s="18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18">
        <f>SUM(GB13:GM13)</f>
        <v/>
      </c>
      <c r="GO13" s="18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18">
        <f>SUM(GP13:HA13)</f>
        <v/>
      </c>
      <c r="HC13" s="18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18">
        <f>SUM(HD13:HO13)</f>
        <v/>
      </c>
      <c r="HQ13" s="18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18">
        <f>SUM(HR13:IC13)</f>
        <v/>
      </c>
      <c r="IE13" s="18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18">
        <f>SUM(IF13:IQ13)</f>
        <v/>
      </c>
      <c r="IS13" s="18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18">
        <f>SUM(IT13:JE13)</f>
        <v/>
      </c>
      <c r="JG13" s="18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18">
        <f>SUM(JH13:JS13)</f>
        <v/>
      </c>
      <c r="JU13" s="18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18">
        <f>SUM(JV13:KG13)</f>
        <v/>
      </c>
      <c r="KI13" s="18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18">
        <f>SUM(KJ13:KU13)</f>
        <v/>
      </c>
      <c r="KW13" s="18" t="n"/>
      <c r="KX13" s="783" t="n"/>
      <c r="KY13" s="76" t="n"/>
    </row>
    <row r="14" ht="14.25" customFormat="1" customHeight="1" s="10">
      <c r="A14" s="17" t="inlineStr">
        <is>
          <t>2.4 ราคาขายปลีกสูงเกินไป ไม่สามารถจำหน่ายได้ตามต้นทุน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18">
        <f>SUM(B14:M14)</f>
        <v/>
      </c>
      <c r="O14" s="18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18">
        <f>SUM(P14:AA14)</f>
        <v/>
      </c>
      <c r="AC14" s="18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18">
        <f>SUM(AD14:AO14)</f>
        <v/>
      </c>
      <c r="AQ14" s="18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18">
        <f>SUM(AR14:BC14)</f>
        <v/>
      </c>
      <c r="BE14" s="18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18">
        <f>SUM(BF14:BQ14)</f>
        <v/>
      </c>
      <c r="BS14" s="18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18">
        <f>SUM(BT14:CE14)</f>
        <v/>
      </c>
      <c r="CG14" s="18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18">
        <f>SUM(CH14:CS14)</f>
        <v/>
      </c>
      <c r="CU14" s="18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18">
        <f>SUM(CV14:DG14)</f>
        <v/>
      </c>
      <c r="DI14" s="18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18">
        <f>SUM(DJ14:DU14)</f>
        <v/>
      </c>
      <c r="DW14" s="18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18">
        <f>SUM(DX14:EI14)</f>
        <v/>
      </c>
      <c r="EK14" s="18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18">
        <f>SUM(EL14:EW14)</f>
        <v/>
      </c>
      <c r="EY14" s="18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18">
        <f>SUM(EZ14:FK14)</f>
        <v/>
      </c>
      <c r="FM14" s="18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18">
        <f>SUM(FN14:FY14)</f>
        <v/>
      </c>
      <c r="GA14" s="18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18">
        <f>SUM(GB14:GM14)</f>
        <v/>
      </c>
      <c r="GO14" s="18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18">
        <f>SUM(GP14:HA14)</f>
        <v/>
      </c>
      <c r="HC14" s="18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18">
        <f>SUM(HD14:HO14)</f>
        <v/>
      </c>
      <c r="HQ14" s="18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18">
        <f>SUM(HR14:IC14)</f>
        <v/>
      </c>
      <c r="IE14" s="18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18">
        <f>SUM(IF14:IQ14)</f>
        <v/>
      </c>
      <c r="IS14" s="18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18">
        <f>SUM(IT14:JE14)</f>
        <v/>
      </c>
      <c r="JG14" s="18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18">
        <f>SUM(JH14:JS14)</f>
        <v/>
      </c>
      <c r="JU14" s="18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18">
        <f>SUM(JV14:KG14)</f>
        <v/>
      </c>
      <c r="KI14" s="18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18">
        <f>SUM(KJ14:KU14)</f>
        <v/>
      </c>
      <c r="KW14" s="18" t="n"/>
      <c r="KX14" s="783" t="n"/>
      <c r="KY14" s="76" t="n"/>
    </row>
    <row r="15" ht="14.25" customFormat="1" customHeight="1" s="57">
      <c r="A15" s="53" t="inlineStr">
        <is>
          <t xml:space="preserve">3.ไม่มี Concept แต่เสนอสินค้าแล้วไม่ผ่าน </t>
        </is>
      </c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5">
        <f>SUM(B15:M15)</f>
        <v/>
      </c>
      <c r="O15" s="56">
        <f>N15/N$46%</f>
        <v/>
      </c>
      <c r="P15" s="54" t="n"/>
      <c r="Q15" s="54" t="n"/>
      <c r="R15" s="54" t="n"/>
      <c r="S15" s="54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5">
        <f>SUM(P15:AA15)</f>
        <v/>
      </c>
      <c r="AC15" s="56">
        <f>AB15/AB$46%</f>
        <v/>
      </c>
      <c r="AD15" s="54" t="n"/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5">
        <f>SUM(AD15:AO15)</f>
        <v/>
      </c>
      <c r="AQ15" s="56">
        <f>AP15/AP$46%</f>
        <v/>
      </c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5">
        <f>SUM(AR15:BC15)</f>
        <v/>
      </c>
      <c r="BE15" s="56">
        <f>BD15/BD$46%</f>
        <v/>
      </c>
      <c r="BF15" s="54" t="n"/>
      <c r="BG15" s="54" t="n"/>
      <c r="BH15" s="54" t="n"/>
      <c r="BI15" s="54" t="n"/>
      <c r="BJ15" s="54" t="n"/>
      <c r="BK15" s="54" t="n"/>
      <c r="BL15" s="54" t="n"/>
      <c r="BM15" s="54" t="n"/>
      <c r="BN15" s="54" t="n"/>
      <c r="BO15" s="54" t="n"/>
      <c r="BP15" s="54" t="n"/>
      <c r="BQ15" s="54" t="n"/>
      <c r="BR15" s="55">
        <f>SUM(BF15:BQ15)</f>
        <v/>
      </c>
      <c r="BS15" s="56">
        <f>BR15/BR$46%</f>
        <v/>
      </c>
      <c r="BT15" s="54" t="n"/>
      <c r="BU15" s="54" t="n"/>
      <c r="BV15" s="54" t="n"/>
      <c r="BW15" s="54" t="n"/>
      <c r="BX15" s="54" t="n"/>
      <c r="BY15" s="54" t="n"/>
      <c r="BZ15" s="54" t="n"/>
      <c r="CA15" s="54" t="n"/>
      <c r="CB15" s="54" t="n"/>
      <c r="CC15" s="54" t="n"/>
      <c r="CD15" s="54" t="n"/>
      <c r="CE15" s="54" t="n"/>
      <c r="CF15" s="55">
        <f>SUM(BT15:CE15)</f>
        <v/>
      </c>
      <c r="CG15" s="56">
        <f>CF15/CF$46%</f>
        <v/>
      </c>
      <c r="CH15" s="54" t="n"/>
      <c r="CI15" s="54" t="n"/>
      <c r="CJ15" s="54" t="n"/>
      <c r="CK15" s="54" t="n"/>
      <c r="CL15" s="54" t="n"/>
      <c r="CM15" s="54" t="n"/>
      <c r="CN15" s="54" t="n"/>
      <c r="CO15" s="54" t="n"/>
      <c r="CP15" s="54" t="n"/>
      <c r="CQ15" s="54" t="n"/>
      <c r="CR15" s="54" t="n"/>
      <c r="CS15" s="54" t="n"/>
      <c r="CT15" s="55">
        <f>SUM(CH15:CS15)</f>
        <v/>
      </c>
      <c r="CU15" s="56">
        <f>CT15/CT$46%</f>
        <v/>
      </c>
      <c r="CV15" s="54" t="n"/>
      <c r="CW15" s="54" t="n"/>
      <c r="CX15" s="54" t="n"/>
      <c r="CY15" s="54" t="n"/>
      <c r="CZ15" s="54" t="n"/>
      <c r="DA15" s="54" t="n"/>
      <c r="DB15" s="54" t="n"/>
      <c r="DC15" s="54" t="n"/>
      <c r="DD15" s="54" t="n"/>
      <c r="DE15" s="54" t="n"/>
      <c r="DF15" s="54" t="n"/>
      <c r="DG15" s="54" t="n"/>
      <c r="DH15" s="55">
        <f>SUM(CV15:DG15)</f>
        <v/>
      </c>
      <c r="DI15" s="56">
        <f>DH15/DH$46%</f>
        <v/>
      </c>
      <c r="DJ15" s="54" t="n"/>
      <c r="DK15" s="54" t="n"/>
      <c r="DL15" s="54" t="n"/>
      <c r="DM15" s="54" t="n"/>
      <c r="DN15" s="54" t="n"/>
      <c r="DO15" s="54" t="n"/>
      <c r="DP15" s="54" t="n"/>
      <c r="DQ15" s="54" t="n"/>
      <c r="DR15" s="54" t="n"/>
      <c r="DS15" s="54" t="n"/>
      <c r="DT15" s="54" t="n"/>
      <c r="DU15" s="54" t="n"/>
      <c r="DV15" s="55">
        <f>SUM(DJ15:DU15)</f>
        <v/>
      </c>
      <c r="DW15" s="56">
        <f>DV15/DV$46%</f>
        <v/>
      </c>
      <c r="DX15" s="54" t="n"/>
      <c r="DY15" s="54" t="n"/>
      <c r="DZ15" s="54" t="n"/>
      <c r="EA15" s="54" t="n"/>
      <c r="EB15" s="54" t="n"/>
      <c r="EC15" s="54" t="n"/>
      <c r="ED15" s="54" t="n"/>
      <c r="EE15" s="54" t="n"/>
      <c r="EF15" s="54" t="n"/>
      <c r="EG15" s="54" t="n"/>
      <c r="EH15" s="54" t="n"/>
      <c r="EI15" s="54" t="n"/>
      <c r="EJ15" s="55">
        <f>SUM(DX15:EI15)</f>
        <v/>
      </c>
      <c r="EK15" s="56">
        <f>EJ15/EJ$46%</f>
        <v/>
      </c>
      <c r="EL15" s="54" t="n"/>
      <c r="EM15" s="54" t="n"/>
      <c r="EN15" s="54" t="n"/>
      <c r="EO15" s="54" t="n"/>
      <c r="EP15" s="54" t="n"/>
      <c r="EQ15" s="54" t="n"/>
      <c r="ER15" s="54" t="n"/>
      <c r="ES15" s="54" t="n"/>
      <c r="ET15" s="54" t="n"/>
      <c r="EU15" s="54" t="n"/>
      <c r="EV15" s="54" t="n"/>
      <c r="EW15" s="54" t="n"/>
      <c r="EX15" s="55">
        <f>SUM(EL15:EW15)</f>
        <v/>
      </c>
      <c r="EY15" s="56">
        <f>EX15/EX$46%</f>
        <v/>
      </c>
      <c r="EZ15" s="54" t="n"/>
      <c r="FA15" s="54" t="n"/>
      <c r="FB15" s="54" t="n"/>
      <c r="FC15" s="54" t="n"/>
      <c r="FD15" s="54" t="n"/>
      <c r="FE15" s="54" t="n"/>
      <c r="FF15" s="54" t="n"/>
      <c r="FG15" s="54" t="n"/>
      <c r="FH15" s="54" t="n"/>
      <c r="FI15" s="54" t="n"/>
      <c r="FJ15" s="54" t="n"/>
      <c r="FK15" s="54" t="n"/>
      <c r="FL15" s="55">
        <f>SUM(EZ15:FK15)</f>
        <v/>
      </c>
      <c r="FM15" s="56">
        <f>FL15/FL$46%</f>
        <v/>
      </c>
      <c r="FN15" s="54" t="n"/>
      <c r="FO15" s="54" t="n"/>
      <c r="FP15" s="54" t="n"/>
      <c r="FQ15" s="54" t="n"/>
      <c r="FR15" s="54" t="n"/>
      <c r="FS15" s="54" t="n"/>
      <c r="FT15" s="54" t="n"/>
      <c r="FU15" s="54" t="n"/>
      <c r="FV15" s="54" t="n"/>
      <c r="FW15" s="54" t="n"/>
      <c r="FX15" s="54" t="n"/>
      <c r="FY15" s="54" t="n"/>
      <c r="FZ15" s="55">
        <f>SUM(FN15:FY15)</f>
        <v/>
      </c>
      <c r="GA15" s="56">
        <f>FZ15/FZ$46%</f>
        <v/>
      </c>
      <c r="GB15" s="54" t="n"/>
      <c r="GC15" s="54" t="n"/>
      <c r="GD15" s="54" t="n"/>
      <c r="GE15" s="54" t="n"/>
      <c r="GF15" s="54" t="n"/>
      <c r="GG15" s="54" t="n"/>
      <c r="GH15" s="54" t="n"/>
      <c r="GI15" s="54" t="n"/>
      <c r="GJ15" s="54" t="n"/>
      <c r="GK15" s="54" t="n"/>
      <c r="GL15" s="54" t="n"/>
      <c r="GM15" s="54" t="n"/>
      <c r="GN15" s="55">
        <f>SUM(GB15:GM15)</f>
        <v/>
      </c>
      <c r="GO15" s="56">
        <f>GN15/GN$46%</f>
        <v/>
      </c>
      <c r="GP15" s="54" t="n"/>
      <c r="GQ15" s="54" t="n"/>
      <c r="GR15" s="54" t="n"/>
      <c r="GS15" s="54" t="n"/>
      <c r="GT15" s="54" t="n"/>
      <c r="GU15" s="54" t="n"/>
      <c r="GV15" s="54" t="n"/>
      <c r="GW15" s="54" t="n"/>
      <c r="GX15" s="54" t="n"/>
      <c r="GY15" s="54" t="n"/>
      <c r="GZ15" s="54" t="n"/>
      <c r="HA15" s="54" t="n"/>
      <c r="HB15" s="55">
        <f>SUM(GP15:HA15)</f>
        <v/>
      </c>
      <c r="HC15" s="56">
        <f>HB15/HB$46%</f>
        <v/>
      </c>
      <c r="HD15" s="54" t="n"/>
      <c r="HE15" s="54" t="n"/>
      <c r="HF15" s="54" t="n"/>
      <c r="HG15" s="54" t="n"/>
      <c r="HH15" s="54" t="n"/>
      <c r="HI15" s="54" t="n"/>
      <c r="HJ15" s="54" t="n"/>
      <c r="HK15" s="54" t="n"/>
      <c r="HL15" s="54" t="n"/>
      <c r="HM15" s="54" t="n"/>
      <c r="HN15" s="54" t="n"/>
      <c r="HO15" s="54" t="n"/>
      <c r="HP15" s="55">
        <f>SUM(HD15:HO15)</f>
        <v/>
      </c>
      <c r="HQ15" s="56">
        <f>HP15/HP$46%</f>
        <v/>
      </c>
      <c r="HR15" s="54" t="n"/>
      <c r="HS15" s="54" t="n"/>
      <c r="HT15" s="54" t="n"/>
      <c r="HU15" s="54" t="n"/>
      <c r="HV15" s="54" t="n"/>
      <c r="HW15" s="54" t="n"/>
      <c r="HX15" s="54" t="n"/>
      <c r="HY15" s="54" t="n"/>
      <c r="HZ15" s="54" t="n"/>
      <c r="IA15" s="54" t="n"/>
      <c r="IB15" s="54" t="n"/>
      <c r="IC15" s="54" t="n"/>
      <c r="ID15" s="55">
        <f>SUM(HR15:IC15)</f>
        <v/>
      </c>
      <c r="IE15" s="56">
        <f>ID15/ID$46%</f>
        <v/>
      </c>
      <c r="IF15" s="54" t="n"/>
      <c r="IG15" s="54" t="n"/>
      <c r="IH15" s="54" t="n"/>
      <c r="II15" s="54" t="n"/>
      <c r="IJ15" s="54" t="n"/>
      <c r="IK15" s="54" t="n"/>
      <c r="IL15" s="54" t="n"/>
      <c r="IM15" s="54" t="n"/>
      <c r="IN15" s="54" t="n"/>
      <c r="IO15" s="54" t="n"/>
      <c r="IP15" s="54" t="n"/>
      <c r="IQ15" s="54" t="n"/>
      <c r="IR15" s="55">
        <f>SUM(IF15:IQ15)</f>
        <v/>
      </c>
      <c r="IS15" s="56">
        <f>IR15/IR$46%</f>
        <v/>
      </c>
      <c r="IT15" s="54" t="n"/>
      <c r="IU15" s="54" t="n"/>
      <c r="IV15" s="54" t="n"/>
      <c r="IW15" s="54" t="n"/>
      <c r="IX15" s="54" t="n"/>
      <c r="IY15" s="54" t="n"/>
      <c r="IZ15" s="54" t="n"/>
      <c r="JA15" s="54" t="n"/>
      <c r="JB15" s="54" t="n"/>
      <c r="JC15" s="54" t="n"/>
      <c r="JD15" s="54" t="n"/>
      <c r="JE15" s="54" t="n"/>
      <c r="JF15" s="55">
        <f>SUM(IT15:JE15)</f>
        <v/>
      </c>
      <c r="JG15" s="56">
        <f>JF15/JF$46%</f>
        <v/>
      </c>
      <c r="JH15" s="54" t="n"/>
      <c r="JI15" s="54" t="n"/>
      <c r="JJ15" s="54" t="n"/>
      <c r="JK15" s="54" t="n"/>
      <c r="JL15" s="54" t="n"/>
      <c r="JM15" s="54" t="n"/>
      <c r="JN15" s="54" t="n"/>
      <c r="JO15" s="54" t="n"/>
      <c r="JP15" s="54" t="n"/>
      <c r="JQ15" s="54" t="n"/>
      <c r="JR15" s="54" t="n"/>
      <c r="JS15" s="54" t="n"/>
      <c r="JT15" s="55">
        <f>SUM(JH15:JS15)</f>
        <v/>
      </c>
      <c r="JU15" s="56">
        <f>JT15/JT$46%</f>
        <v/>
      </c>
      <c r="JV15" s="54" t="n"/>
      <c r="JW15" s="54" t="n"/>
      <c r="JX15" s="54" t="n"/>
      <c r="JY15" s="54" t="n"/>
      <c r="JZ15" s="54" t="n"/>
      <c r="KA15" s="54" t="n"/>
      <c r="KB15" s="54" t="n"/>
      <c r="KC15" s="54" t="n"/>
      <c r="KD15" s="54" t="n"/>
      <c r="KE15" s="54" t="n"/>
      <c r="KF15" s="54" t="n"/>
      <c r="KG15" s="54" t="n"/>
      <c r="KH15" s="55">
        <f>SUM(JV15:KG15)</f>
        <v/>
      </c>
      <c r="KI15" s="56">
        <f>KH15/KH$46%</f>
        <v/>
      </c>
      <c r="KJ15" s="54" t="n"/>
      <c r="KK15" s="54" t="n"/>
      <c r="KL15" s="54" t="n"/>
      <c r="KM15" s="54" t="n"/>
      <c r="KN15" s="54" t="n"/>
      <c r="KO15" s="54" t="n"/>
      <c r="KP15" s="54" t="n"/>
      <c r="KQ15" s="54" t="n"/>
      <c r="KR15" s="54" t="n"/>
      <c r="KS15" s="54" t="n"/>
      <c r="KT15" s="54" t="n"/>
      <c r="KU15" s="54" t="n"/>
      <c r="KV15" s="55">
        <f>SUM(KJ15:KU15)</f>
        <v/>
      </c>
      <c r="KW15" s="56">
        <f>KV15/KV$46%</f>
        <v/>
      </c>
      <c r="KX15" s="78">
        <f>N15+AB15+AP15+BD15+BR15+CF15+CT15+DH15+DV15+EJ15+EX15+FZ15+GN15+HB15+HP15+ID15+IR15+JF15+KH15+KV15+JT15</f>
        <v/>
      </c>
      <c r="KY15" s="78">
        <f>KX15/KX$46%</f>
        <v/>
      </c>
    </row>
    <row r="16" customFormat="1" s="16">
      <c r="A16" s="12" t="inlineStr">
        <is>
          <t>4.ไม่ผ่านในขั้นตอน Screen Test</t>
        </is>
      </c>
      <c r="B16" s="13" t="n"/>
      <c r="C16" s="13" t="n"/>
      <c r="D16" s="13" t="n"/>
      <c r="E16" s="13" t="n"/>
      <c r="F16" s="13" t="n"/>
      <c r="G16" s="13" t="n">
        <v>1</v>
      </c>
      <c r="H16" s="13" t="n"/>
      <c r="I16" s="13" t="n"/>
      <c r="J16" s="13" t="n"/>
      <c r="K16" s="13" t="n"/>
      <c r="L16" s="13" t="n"/>
      <c r="M16" s="13" t="n"/>
      <c r="N16" s="14">
        <f>SUM(B16:M16)</f>
        <v/>
      </c>
      <c r="O16" s="15">
        <f>N16/N$46%</f>
        <v/>
      </c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4">
        <f>SUM(P16:AA16)</f>
        <v/>
      </c>
      <c r="AC16" s="15">
        <f>AB16/AB$46%</f>
        <v/>
      </c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4">
        <f>SUM(AD16:AO16)</f>
        <v/>
      </c>
      <c r="AQ16" s="15">
        <f>AP16/AP$46%</f>
        <v/>
      </c>
      <c r="AR16" s="13" t="n">
        <v>1</v>
      </c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4">
        <f>SUM(AR16:BC16)</f>
        <v/>
      </c>
      <c r="BE16" s="15">
        <f>BD16/BD$46%</f>
        <v/>
      </c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4">
        <f>SUM(BF16:BQ16)</f>
        <v/>
      </c>
      <c r="BS16" s="15">
        <f>BR16/BR$46%</f>
        <v/>
      </c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D16" s="13" t="n"/>
      <c r="CE16" s="13" t="n"/>
      <c r="CF16" s="14">
        <f>SUM(BT16:CE16)</f>
        <v/>
      </c>
      <c r="CG16" s="15">
        <f>CF16/CF$46%</f>
        <v/>
      </c>
      <c r="CH16" s="13" t="n"/>
      <c r="CI16" s="13" t="n"/>
      <c r="CJ16" s="13" t="n"/>
      <c r="CK16" s="13" t="n"/>
      <c r="CL16" s="13" t="n"/>
      <c r="CM16" s="13" t="n"/>
      <c r="CN16" s="13" t="n"/>
      <c r="CO16" s="13" t="n"/>
      <c r="CP16" s="13" t="n"/>
      <c r="CQ16" s="13" t="n"/>
      <c r="CR16" s="13" t="n"/>
      <c r="CS16" s="13" t="n"/>
      <c r="CT16" s="14">
        <f>SUM(CH16:CS16)</f>
        <v/>
      </c>
      <c r="CU16" s="15">
        <f>CT16/CT$46%</f>
        <v/>
      </c>
      <c r="CV16" s="13" t="n"/>
      <c r="CW16" s="13" t="n"/>
      <c r="CX16" s="13" t="n"/>
      <c r="CY16" s="13" t="n"/>
      <c r="CZ16" s="13" t="n"/>
      <c r="DA16" s="13" t="n"/>
      <c r="DB16" s="13" t="n"/>
      <c r="DC16" s="13" t="n"/>
      <c r="DD16" s="13" t="n"/>
      <c r="DE16" s="13" t="n"/>
      <c r="DF16" s="13" t="n"/>
      <c r="DG16" s="13" t="n"/>
      <c r="DH16" s="14">
        <f>SUM(CV16:DG16)</f>
        <v/>
      </c>
      <c r="DI16" s="15">
        <f>DH16/DH$46%</f>
        <v/>
      </c>
      <c r="DJ16" s="13" t="n"/>
      <c r="DK16" s="13" t="n"/>
      <c r="DL16" s="13" t="n"/>
      <c r="DM16" s="13" t="n"/>
      <c r="DN16" s="13" t="n"/>
      <c r="DO16" s="13" t="n"/>
      <c r="DP16" s="13" t="n"/>
      <c r="DQ16" s="13" t="n"/>
      <c r="DR16" s="13" t="n"/>
      <c r="DS16" s="13" t="n"/>
      <c r="DT16" s="13" t="n"/>
      <c r="DU16" s="13" t="n"/>
      <c r="DV16" s="14">
        <f>SUM(DJ16:DU16)</f>
        <v/>
      </c>
      <c r="DW16" s="15">
        <f>DV16/DV$46%</f>
        <v/>
      </c>
      <c r="DX16" s="13" t="n"/>
      <c r="DY16" s="13" t="n"/>
      <c r="DZ16" s="13" t="n"/>
      <c r="EA16" s="13" t="n"/>
      <c r="EB16" s="13" t="n"/>
      <c r="EC16" s="13" t="n"/>
      <c r="ED16" s="13" t="n"/>
      <c r="EE16" s="13" t="n"/>
      <c r="EF16" s="13" t="n"/>
      <c r="EG16" s="13" t="n"/>
      <c r="EH16" s="13" t="n"/>
      <c r="EI16" s="13" t="n"/>
      <c r="EJ16" s="14">
        <f>SUM(DX16:EI16)</f>
        <v/>
      </c>
      <c r="EK16" s="15">
        <f>EJ16/EJ$46%</f>
        <v/>
      </c>
      <c r="EL16" s="13" t="n"/>
      <c r="EM16" s="13" t="n"/>
      <c r="EN16" s="13" t="n">
        <v>2</v>
      </c>
      <c r="EO16" s="13" t="n"/>
      <c r="EP16" s="13" t="n"/>
      <c r="EQ16" s="13" t="n"/>
      <c r="ER16" s="13" t="n">
        <v>4</v>
      </c>
      <c r="ES16" s="13" t="n">
        <v>2</v>
      </c>
      <c r="ET16" s="13" t="n"/>
      <c r="EU16" s="13" t="n"/>
      <c r="EV16" s="13" t="n"/>
      <c r="EW16" s="13" t="n"/>
      <c r="EX16" s="14">
        <f>SUM(EL16:EW16)</f>
        <v/>
      </c>
      <c r="EY16" s="15">
        <f>EX16/EX$46%</f>
        <v/>
      </c>
      <c r="EZ16" s="13" t="n"/>
      <c r="FA16" s="13" t="n"/>
      <c r="FB16" s="13" t="n"/>
      <c r="FC16" s="13" t="n"/>
      <c r="FD16" s="13" t="n"/>
      <c r="FE16" s="13" t="n"/>
      <c r="FF16" s="13" t="n"/>
      <c r="FG16" s="13" t="n"/>
      <c r="FH16" s="13" t="n"/>
      <c r="FI16" s="13" t="n"/>
      <c r="FJ16" s="13" t="n"/>
      <c r="FK16" s="13" t="n"/>
      <c r="FL16" s="14">
        <f>SUM(EZ16:FK16)</f>
        <v/>
      </c>
      <c r="FM16" s="15">
        <f>FL16/FL$46%</f>
        <v/>
      </c>
      <c r="FN16" s="13" t="n"/>
      <c r="FO16" s="13" t="n"/>
      <c r="FP16" s="13" t="n"/>
      <c r="FQ16" s="13" t="n"/>
      <c r="FR16" s="13" t="n"/>
      <c r="FS16" s="13" t="n"/>
      <c r="FT16" s="13" t="n"/>
      <c r="FU16" s="13" t="n"/>
      <c r="FV16" s="13" t="n"/>
      <c r="FW16" s="13" t="n"/>
      <c r="FX16" s="13" t="n"/>
      <c r="FY16" s="13" t="n"/>
      <c r="FZ16" s="14">
        <f>SUM(FN16:FY16)</f>
        <v/>
      </c>
      <c r="GA16" s="15">
        <f>FZ16/FZ$46%</f>
        <v/>
      </c>
      <c r="GB16" s="13" t="n"/>
      <c r="GC16" s="13" t="n"/>
      <c r="GD16" s="13" t="n"/>
      <c r="GE16" s="13" t="n"/>
      <c r="GF16" s="13" t="n"/>
      <c r="GG16" s="13" t="n"/>
      <c r="GH16" s="13" t="n"/>
      <c r="GI16" s="13" t="n"/>
      <c r="GJ16" s="13" t="n"/>
      <c r="GK16" s="13" t="n"/>
      <c r="GL16" s="13" t="n"/>
      <c r="GM16" s="13" t="n"/>
      <c r="GN16" s="14">
        <f>SUM(GB16:GM16)</f>
        <v/>
      </c>
      <c r="GO16" s="15">
        <f>GN16/GN$46%</f>
        <v/>
      </c>
      <c r="GP16" s="13" t="n"/>
      <c r="GQ16" s="13" t="n"/>
      <c r="GR16" s="13" t="n"/>
      <c r="GS16" s="13" t="n"/>
      <c r="GT16" s="13" t="n"/>
      <c r="GU16" s="13" t="n"/>
      <c r="GV16" s="13" t="n"/>
      <c r="GW16" s="13" t="n"/>
      <c r="GX16" s="13" t="n"/>
      <c r="GY16" s="13" t="n"/>
      <c r="GZ16" s="13" t="n"/>
      <c r="HA16" s="13" t="n"/>
      <c r="HB16" s="14">
        <f>SUM(GP16:HA16)</f>
        <v/>
      </c>
      <c r="HC16" s="15">
        <f>HB16/HB$46%</f>
        <v/>
      </c>
      <c r="HD16" s="13" t="n"/>
      <c r="HE16" s="13" t="n"/>
      <c r="HF16" s="13" t="n"/>
      <c r="HG16" s="13" t="n"/>
      <c r="HH16" s="13" t="n"/>
      <c r="HI16" s="13" t="n"/>
      <c r="HJ16" s="13" t="n"/>
      <c r="HK16" s="13" t="n"/>
      <c r="HL16" s="13" t="n"/>
      <c r="HM16" s="13" t="n"/>
      <c r="HN16" s="13" t="n"/>
      <c r="HO16" s="13" t="n"/>
      <c r="HP16" s="14">
        <f>SUM(HD16:HO16)</f>
        <v/>
      </c>
      <c r="HQ16" s="15">
        <f>HP16/HP$46%</f>
        <v/>
      </c>
      <c r="HR16" s="106" t="n">
        <v>2</v>
      </c>
      <c r="HS16" s="13" t="n"/>
      <c r="HT16" s="13" t="n"/>
      <c r="HU16" s="13" t="n"/>
      <c r="HV16" s="13" t="n"/>
      <c r="HW16" s="106" t="n">
        <v>1</v>
      </c>
      <c r="HX16" s="13" t="n"/>
      <c r="HY16" s="13" t="n"/>
      <c r="HZ16" s="13" t="n"/>
      <c r="IA16" s="13" t="n"/>
      <c r="IB16" s="13" t="n"/>
      <c r="IC16" s="13" t="n"/>
      <c r="ID16" s="105">
        <f>SUM(HR16:IC16)</f>
        <v/>
      </c>
      <c r="IE16" s="15">
        <f>ID16/ID$46%</f>
        <v/>
      </c>
      <c r="IF16" s="13" t="n"/>
      <c r="IG16" s="13" t="n"/>
      <c r="IH16" s="13" t="n"/>
      <c r="II16" s="13" t="n"/>
      <c r="IJ16" s="13" t="n"/>
      <c r="IK16" s="13" t="n"/>
      <c r="IL16" s="13" t="n"/>
      <c r="IM16" s="13" t="n"/>
      <c r="IN16" s="13" t="n"/>
      <c r="IO16" s="13" t="n"/>
      <c r="IP16" s="13" t="n"/>
      <c r="IQ16" s="13" t="n"/>
      <c r="IR16" s="14">
        <f>SUM(IF16:IQ16)</f>
        <v/>
      </c>
      <c r="IS16" s="15">
        <f>IR16/IR$46%</f>
        <v/>
      </c>
      <c r="IT16" s="13" t="n"/>
      <c r="IU16" s="13" t="n"/>
      <c r="IV16" s="13" t="n"/>
      <c r="IW16" s="13" t="n"/>
      <c r="IX16" s="13" t="n"/>
      <c r="IY16" s="13" t="n"/>
      <c r="IZ16" s="13" t="n"/>
      <c r="JA16" s="13" t="n"/>
      <c r="JB16" s="13" t="n"/>
      <c r="JC16" s="13" t="n"/>
      <c r="JD16" s="13" t="n"/>
      <c r="JE16" s="13" t="n"/>
      <c r="JF16" s="14">
        <f>SUM(IT16:JE16)</f>
        <v/>
      </c>
      <c r="JG16" s="15">
        <f>JF16/JF$46%</f>
        <v/>
      </c>
      <c r="JH16" s="13" t="n"/>
      <c r="JI16" s="13" t="n"/>
      <c r="JJ16" s="13" t="n"/>
      <c r="JK16" s="13" t="n"/>
      <c r="JL16" s="13" t="n"/>
      <c r="JM16" s="13" t="n"/>
      <c r="JN16" s="13" t="n"/>
      <c r="JO16" s="13" t="n"/>
      <c r="JP16" s="13" t="n"/>
      <c r="JQ16" s="13" t="n"/>
      <c r="JR16" s="13" t="n"/>
      <c r="JS16" s="13" t="n"/>
      <c r="JT16" s="14">
        <f>SUM(JH16:JS16)</f>
        <v/>
      </c>
      <c r="JU16" s="15">
        <f>JT16/JT$46%</f>
        <v/>
      </c>
      <c r="JV16" s="13" t="n"/>
      <c r="JW16" s="13" t="n"/>
      <c r="JX16" s="13" t="n">
        <v>15</v>
      </c>
      <c r="JY16" s="13" t="n"/>
      <c r="JZ16" s="13" t="n"/>
      <c r="KA16" s="13" t="n"/>
      <c r="KB16" s="13" t="n"/>
      <c r="KC16" s="13" t="n"/>
      <c r="KD16" s="13" t="n"/>
      <c r="KE16" s="13" t="n"/>
      <c r="KF16" s="13" t="n"/>
      <c r="KG16" s="13" t="n"/>
      <c r="KH16" s="14">
        <f>SUM(JV16:KG16)</f>
        <v/>
      </c>
      <c r="KI16" s="15">
        <f>KH16/KH$46%</f>
        <v/>
      </c>
      <c r="KJ16" s="13" t="n"/>
      <c r="KK16" s="13" t="n"/>
      <c r="KL16" s="13" t="n"/>
      <c r="KM16" s="13" t="n">
        <v>1</v>
      </c>
      <c r="KN16" s="13" t="n"/>
      <c r="KO16" s="13" t="n"/>
      <c r="KP16" s="13" t="n"/>
      <c r="KQ16" s="13" t="n"/>
      <c r="KR16" s="13" t="n"/>
      <c r="KS16" s="13" t="n"/>
      <c r="KT16" s="13" t="n"/>
      <c r="KU16" s="13" t="n"/>
      <c r="KV16" s="14">
        <f>SUM(KJ16:KU16)</f>
        <v/>
      </c>
      <c r="KW16" s="15">
        <f>KV16/KV$46%</f>
        <v/>
      </c>
      <c r="KX16" s="78">
        <f>N16+AB16+AP16+BD16+BR16+CF16+CT16+DH16+DV16+EJ16+EX16+FZ16+GN16+HB16+HP16+ID16+IR16+JF16+KH16+KV16+JT16</f>
        <v/>
      </c>
      <c r="KY16" s="78">
        <f>KX16/KX$46%</f>
        <v/>
      </c>
    </row>
    <row r="17" ht="14.25" customFormat="1" customHeight="1" s="10">
      <c r="A17" s="17" t="inlineStr">
        <is>
          <t>4.1 ต้นทุนวัตถุดิบไม่ผ่าน</t>
        </is>
      </c>
      <c r="B17" s="7" t="n"/>
      <c r="C17" s="7" t="n"/>
      <c r="D17" s="7" t="n"/>
      <c r="E17" s="7" t="n"/>
      <c r="F17" s="7" t="n"/>
      <c r="G17" s="7" t="n">
        <v>1</v>
      </c>
      <c r="H17" s="7" t="n"/>
      <c r="I17" s="7" t="n"/>
      <c r="J17" s="7" t="n"/>
      <c r="K17" s="7" t="n"/>
      <c r="L17" s="7" t="n"/>
      <c r="M17" s="7" t="n"/>
      <c r="N17" s="18">
        <f>SUM(B17:M17)</f>
        <v/>
      </c>
      <c r="O17" s="59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18">
        <f>SUM(P17:AA17)</f>
        <v/>
      </c>
      <c r="AC17" s="59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18">
        <f>SUM(AD17:AO17)</f>
        <v/>
      </c>
      <c r="AQ17" s="59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18">
        <f>SUM(AR17:BC17)</f>
        <v/>
      </c>
      <c r="BE17" s="59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18">
        <f>SUM(BF17:BQ17)</f>
        <v/>
      </c>
      <c r="BS17" s="59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18">
        <f>SUM(BT17:CE17)</f>
        <v/>
      </c>
      <c r="CG17" s="59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18">
        <f>SUM(CH17:CS17)</f>
        <v/>
      </c>
      <c r="CU17" s="59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18">
        <f>SUM(CV17:DG17)</f>
        <v/>
      </c>
      <c r="DI17" s="59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18">
        <f>SUM(DJ17:DU17)</f>
        <v/>
      </c>
      <c r="DW17" s="59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18">
        <f>SUM(DX17:EI17)</f>
        <v/>
      </c>
      <c r="EK17" s="59" t="n"/>
      <c r="EL17" s="7" t="n"/>
      <c r="EM17" s="7" t="n"/>
      <c r="EN17" s="7" t="n">
        <v>1</v>
      </c>
      <c r="EO17" s="7" t="n"/>
      <c r="EP17" s="7" t="n"/>
      <c r="EQ17" s="7" t="n"/>
      <c r="ER17" s="7" t="n"/>
      <c r="ES17" s="7" t="n">
        <v>2</v>
      </c>
      <c r="ET17" s="7" t="n"/>
      <c r="EU17" s="7" t="n"/>
      <c r="EV17" s="7" t="n"/>
      <c r="EW17" s="7" t="n"/>
      <c r="EX17" s="18">
        <f>SUM(EL17:EW17)</f>
        <v/>
      </c>
      <c r="EY17" s="59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18">
        <f>SUM(EZ17:FK17)</f>
        <v/>
      </c>
      <c r="FM17" s="59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18">
        <f>SUM(FN17:FY17)</f>
        <v/>
      </c>
      <c r="GA17" s="59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18">
        <f>SUM(GB17:GM17)</f>
        <v/>
      </c>
      <c r="GO17" s="59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18">
        <f>SUM(GP17:HA17)</f>
        <v/>
      </c>
      <c r="HC17" s="59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18">
        <f>SUM(HD17:HO17)</f>
        <v/>
      </c>
      <c r="HQ17" s="59" t="n"/>
      <c r="HR17" s="7" t="n">
        <v>1</v>
      </c>
      <c r="HS17" s="7" t="n"/>
      <c r="HT17" s="7" t="n"/>
      <c r="HU17" s="7" t="n"/>
      <c r="HV17" s="7" t="n"/>
      <c r="HW17" s="7" t="n">
        <v>1</v>
      </c>
      <c r="HX17" s="7" t="n"/>
      <c r="HY17" s="7" t="n"/>
      <c r="HZ17" s="7" t="n"/>
      <c r="IA17" s="7" t="n"/>
      <c r="IB17" s="7" t="n"/>
      <c r="IC17" s="7" t="n"/>
      <c r="ID17" s="18">
        <f>SUM(HR17:IC17)</f>
        <v/>
      </c>
      <c r="IE17" s="59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18">
        <f>SUM(IF17:IQ17)</f>
        <v/>
      </c>
      <c r="IS17" s="59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18">
        <f>SUM(IT17:JE17)</f>
        <v/>
      </c>
      <c r="JG17" s="59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18">
        <f>SUM(JH17:JS17)</f>
        <v/>
      </c>
      <c r="JU17" s="59" t="n"/>
      <c r="JV17" s="7" t="n"/>
      <c r="JW17" s="7" t="n"/>
      <c r="JX17" s="7" t="n">
        <v>15</v>
      </c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18">
        <f>SUM(JV17:KG17)</f>
        <v/>
      </c>
      <c r="KI17" s="59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18">
        <f>SUM(KJ17:KU17)</f>
        <v/>
      </c>
      <c r="KW17" s="59" t="n"/>
      <c r="KX17" s="81" t="n"/>
      <c r="KY17" s="76" t="n"/>
    </row>
    <row r="18" ht="14.25" customFormat="1" customHeight="1" s="10">
      <c r="A18" s="17" t="inlineStr">
        <is>
          <t>4.2 ต้นทุนแรงงานไม่ผ่าน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18">
        <f>SUM(B18:M18)</f>
        <v/>
      </c>
      <c r="O18" s="59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18">
        <f>SUM(P18:AA18)</f>
        <v/>
      </c>
      <c r="AC18" s="59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18">
        <f>SUM(AD18:AO18)</f>
        <v/>
      </c>
      <c r="AQ18" s="59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18">
        <f>SUM(AR18:BC18)</f>
        <v/>
      </c>
      <c r="BE18" s="59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18">
        <f>SUM(BF18:BQ18)</f>
        <v/>
      </c>
      <c r="BS18" s="59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18">
        <f>SUM(BT18:CE18)</f>
        <v/>
      </c>
      <c r="CG18" s="59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18">
        <f>SUM(CH18:CS18)</f>
        <v/>
      </c>
      <c r="CU18" s="59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18">
        <f>SUM(CV18:DG18)</f>
        <v/>
      </c>
      <c r="DI18" s="59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18">
        <f>SUM(DJ18:DU18)</f>
        <v/>
      </c>
      <c r="DW18" s="59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18">
        <f>SUM(DX18:EI18)</f>
        <v/>
      </c>
      <c r="EK18" s="59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18">
        <f>SUM(EL18:EW18)</f>
        <v/>
      </c>
      <c r="EY18" s="59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18">
        <f>SUM(EZ18:FK18)</f>
        <v/>
      </c>
      <c r="FM18" s="59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18">
        <f>SUM(FN18:FY18)</f>
        <v/>
      </c>
      <c r="GA18" s="59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18">
        <f>SUM(GB18:GM18)</f>
        <v/>
      </c>
      <c r="GO18" s="59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18">
        <f>SUM(GP18:HA18)</f>
        <v/>
      </c>
      <c r="HC18" s="59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18">
        <f>SUM(HD18:HO18)</f>
        <v/>
      </c>
      <c r="HQ18" s="59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18">
        <f>SUM(HR18:IC18)</f>
        <v/>
      </c>
      <c r="IE18" s="59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18">
        <f>SUM(IF18:IQ18)</f>
        <v/>
      </c>
      <c r="IS18" s="59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18">
        <f>SUM(IT18:JE18)</f>
        <v/>
      </c>
      <c r="JG18" s="59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18">
        <f>SUM(JH18:JS18)</f>
        <v/>
      </c>
      <c r="JU18" s="59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18">
        <f>SUM(JV18:KG18)</f>
        <v/>
      </c>
      <c r="KI18" s="59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18">
        <f>SUM(KJ18:KU18)</f>
        <v/>
      </c>
      <c r="KW18" s="59" t="n"/>
      <c r="KX18" s="81" t="n"/>
      <c r="KY18" s="76" t="n"/>
    </row>
    <row r="19" ht="14.25" customFormat="1" customHeight="1" s="10">
      <c r="A19" s="17" t="inlineStr">
        <is>
          <t>4.3 ต้นทุน packaging ไม่ผ่าน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18">
        <f>SUM(B19:M19)</f>
        <v/>
      </c>
      <c r="O19" s="58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18">
        <f>SUM(P19:AA19)</f>
        <v/>
      </c>
      <c r="AC19" s="58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18">
        <f>SUM(AD19:AO19)</f>
        <v/>
      </c>
      <c r="AQ19" s="58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18">
        <f>SUM(AR19:BC19)</f>
        <v/>
      </c>
      <c r="BE19" s="58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18">
        <f>SUM(BF19:BQ19)</f>
        <v/>
      </c>
      <c r="BS19" s="58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18">
        <f>SUM(BT19:CE19)</f>
        <v/>
      </c>
      <c r="CG19" s="58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18">
        <f>SUM(CH19:CS19)</f>
        <v/>
      </c>
      <c r="CU19" s="58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18">
        <f>SUM(CV19:DG19)</f>
        <v/>
      </c>
      <c r="DI19" s="58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18">
        <f>SUM(DJ19:DU19)</f>
        <v/>
      </c>
      <c r="DW19" s="58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18">
        <f>SUM(DX19:EI19)</f>
        <v/>
      </c>
      <c r="EK19" s="58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18">
        <f>SUM(EL19:EW19)</f>
        <v/>
      </c>
      <c r="EY19" s="58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18">
        <f>SUM(EZ19:FK19)</f>
        <v/>
      </c>
      <c r="FM19" s="58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18">
        <f>SUM(FN19:FY19)</f>
        <v/>
      </c>
      <c r="GA19" s="58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18">
        <f>SUM(GB19:GM19)</f>
        <v/>
      </c>
      <c r="GO19" s="58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18">
        <f>SUM(GP19:HA19)</f>
        <v/>
      </c>
      <c r="HC19" s="58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18">
        <f>SUM(HD19:HO19)</f>
        <v/>
      </c>
      <c r="HQ19" s="58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18">
        <f>SUM(HR19:IC19)</f>
        <v/>
      </c>
      <c r="IE19" s="58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18">
        <f>SUM(IF19:IQ19)</f>
        <v/>
      </c>
      <c r="IS19" s="58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18">
        <f>SUM(IT19:JE19)</f>
        <v/>
      </c>
      <c r="JG19" s="58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18">
        <f>SUM(JH19:JS19)</f>
        <v/>
      </c>
      <c r="JU19" s="58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18">
        <f>SUM(JV19:KG19)</f>
        <v/>
      </c>
      <c r="KI19" s="58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18">
        <f>SUM(KJ19:KU19)</f>
        <v/>
      </c>
      <c r="KW19" s="58" t="n"/>
      <c r="KX19" s="80" t="n"/>
      <c r="KY19" s="76" t="n"/>
    </row>
    <row r="20" ht="14.25" customFormat="1" customHeight="1" s="10">
      <c r="A20" s="17" t="inlineStr">
        <is>
          <t>4.4 วัตถุดิบ supply ไม่เพียงพอ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18">
        <f>SUM(B20:M20)</f>
        <v/>
      </c>
      <c r="O20" s="58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18">
        <f>SUM(P20:AA20)</f>
        <v/>
      </c>
      <c r="AC20" s="58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18">
        <f>SUM(AD20:AO20)</f>
        <v/>
      </c>
      <c r="AQ20" s="58" t="n"/>
      <c r="AR20" s="7" t="n">
        <v>1</v>
      </c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18">
        <f>SUM(AR20:BC20)</f>
        <v/>
      </c>
      <c r="BE20" s="58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18">
        <f>SUM(BF20:BQ20)</f>
        <v/>
      </c>
      <c r="BS20" s="58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18">
        <f>SUM(BT20:CE20)</f>
        <v/>
      </c>
      <c r="CG20" s="58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18">
        <f>SUM(CH20:CS20)</f>
        <v/>
      </c>
      <c r="CU20" s="58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18">
        <f>SUM(CV20:DG20)</f>
        <v/>
      </c>
      <c r="DI20" s="58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18">
        <f>SUM(DJ20:DU20)</f>
        <v/>
      </c>
      <c r="DW20" s="58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18">
        <f>SUM(DX20:EI20)</f>
        <v/>
      </c>
      <c r="EK20" s="58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18">
        <f>SUM(EL20:EW20)</f>
        <v/>
      </c>
      <c r="EY20" s="58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18">
        <f>SUM(EZ20:FK20)</f>
        <v/>
      </c>
      <c r="FM20" s="58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18">
        <f>SUM(FN20:FY20)</f>
        <v/>
      </c>
      <c r="GA20" s="58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18">
        <f>SUM(GB20:GM20)</f>
        <v/>
      </c>
      <c r="GO20" s="58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18">
        <f>SUM(GP20:HA20)</f>
        <v/>
      </c>
      <c r="HC20" s="58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18">
        <f>SUM(HD20:HO20)</f>
        <v/>
      </c>
      <c r="HQ20" s="58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18">
        <f>SUM(HR20:IC20)</f>
        <v/>
      </c>
      <c r="IE20" s="58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18">
        <f>SUM(IF20:IQ20)</f>
        <v/>
      </c>
      <c r="IS20" s="58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18">
        <f>SUM(IT20:JE20)</f>
        <v/>
      </c>
      <c r="JG20" s="58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18">
        <f>SUM(JH20:JS20)</f>
        <v/>
      </c>
      <c r="JU20" s="58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18">
        <f>SUM(JV20:KG20)</f>
        <v/>
      </c>
      <c r="KI20" s="58" t="n"/>
      <c r="KJ20" s="7" t="n"/>
      <c r="KK20" s="7" t="n"/>
      <c r="KL20" s="7" t="n"/>
      <c r="KM20" s="7" t="n">
        <v>1</v>
      </c>
      <c r="KN20" s="7" t="n"/>
      <c r="KO20" s="7" t="n"/>
      <c r="KP20" s="7" t="n"/>
      <c r="KQ20" s="7" t="n"/>
      <c r="KR20" s="7" t="n"/>
      <c r="KS20" s="7" t="n"/>
      <c r="KT20" s="7" t="n"/>
      <c r="KU20" s="7" t="n"/>
      <c r="KV20" s="18">
        <f>SUM(KJ20:KU20)</f>
        <v/>
      </c>
      <c r="KW20" s="58" t="n"/>
      <c r="KX20" s="80" t="n"/>
      <c r="KY20" s="76" t="n"/>
    </row>
    <row r="21" ht="14.25" customFormat="1" customHeight="1" s="10">
      <c r="A21" s="17" t="inlineStr">
        <is>
          <t>4.5 วัตถุดิบพบปัญหาคุณภาพ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18">
        <f>SUM(B21:M21)</f>
        <v/>
      </c>
      <c r="O21" s="58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18">
        <f>SUM(P21:AA21)</f>
        <v/>
      </c>
      <c r="AC21" s="58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18">
        <f>SUM(AD21:AO21)</f>
        <v/>
      </c>
      <c r="AQ21" s="58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18">
        <f>SUM(AR21:BC21)</f>
        <v/>
      </c>
      <c r="BE21" s="58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18">
        <f>SUM(BF21:BQ21)</f>
        <v/>
      </c>
      <c r="BS21" s="58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18">
        <f>SUM(BT21:CE21)</f>
        <v/>
      </c>
      <c r="CG21" s="58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18">
        <f>SUM(CH21:CS21)</f>
        <v/>
      </c>
      <c r="CU21" s="58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18">
        <f>SUM(CV21:DG21)</f>
        <v/>
      </c>
      <c r="DI21" s="58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18">
        <f>SUM(DJ21:DU21)</f>
        <v/>
      </c>
      <c r="DW21" s="58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18">
        <f>SUM(DX21:EI21)</f>
        <v/>
      </c>
      <c r="EK21" s="58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18">
        <f>SUM(EL21:EW21)</f>
        <v/>
      </c>
      <c r="EY21" s="58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18">
        <f>SUM(EZ21:FK21)</f>
        <v/>
      </c>
      <c r="FM21" s="58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18">
        <f>SUM(FN21:FY21)</f>
        <v/>
      </c>
      <c r="GA21" s="58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18">
        <f>SUM(GB21:GM21)</f>
        <v/>
      </c>
      <c r="GO21" s="58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18">
        <f>SUM(GP21:HA21)</f>
        <v/>
      </c>
      <c r="HC21" s="58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18">
        <f>SUM(HD21:HO21)</f>
        <v/>
      </c>
      <c r="HQ21" s="58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18">
        <f>SUM(HR21:IC21)</f>
        <v/>
      </c>
      <c r="IE21" s="58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18">
        <f>SUM(IF21:IQ21)</f>
        <v/>
      </c>
      <c r="IS21" s="58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18">
        <f>SUM(IT21:JE21)</f>
        <v/>
      </c>
      <c r="JG21" s="58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18">
        <f>SUM(JH21:JS21)</f>
        <v/>
      </c>
      <c r="JU21" s="58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18">
        <f>SUM(JV21:KG21)</f>
        <v/>
      </c>
      <c r="KI21" s="58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18">
        <f>SUM(KJ21:KU21)</f>
        <v/>
      </c>
      <c r="KW21" s="58" t="n"/>
      <c r="KX21" s="80" t="n"/>
      <c r="KY21" s="76" t="n"/>
    </row>
    <row r="22" ht="14.25" customFormat="1" customHeight="1" s="10">
      <c r="A22" s="17" t="inlineStr">
        <is>
          <t>4.6 Mer/ลูกค้าขอยกเลิกขาย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18">
        <f>SUM(B22:M22)</f>
        <v/>
      </c>
      <c r="O22" s="58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18">
        <f>SUM(P22:AA22)</f>
        <v/>
      </c>
      <c r="AC22" s="58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18">
        <f>SUM(AD22:AO22)</f>
        <v/>
      </c>
      <c r="AQ22" s="58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18">
        <f>SUM(AR22:BC22)</f>
        <v/>
      </c>
      <c r="BE22" s="58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18">
        <f>SUM(BF22:BQ22)</f>
        <v/>
      </c>
      <c r="BS22" s="58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18">
        <f>SUM(BT22:CE22)</f>
        <v/>
      </c>
      <c r="CG22" s="58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18">
        <f>SUM(CH22:CS22)</f>
        <v/>
      </c>
      <c r="CU22" s="58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18">
        <f>SUM(CV22:DG22)</f>
        <v/>
      </c>
      <c r="DI22" s="58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18">
        <f>SUM(DJ22:DU22)</f>
        <v/>
      </c>
      <c r="DW22" s="58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18">
        <f>SUM(DX22:EI22)</f>
        <v/>
      </c>
      <c r="EK22" s="58" t="n"/>
      <c r="EL22" s="7" t="n"/>
      <c r="EM22" s="7" t="n"/>
      <c r="EN22" s="7" t="n">
        <v>1</v>
      </c>
      <c r="EO22" s="7" t="n"/>
      <c r="EP22" s="7" t="n"/>
      <c r="EQ22" s="7" t="n"/>
      <c r="ER22" s="7" t="n">
        <v>4</v>
      </c>
      <c r="ES22" s="7" t="n"/>
      <c r="ET22" s="7" t="n"/>
      <c r="EU22" s="7" t="n"/>
      <c r="EV22" s="7" t="n"/>
      <c r="EW22" s="7" t="n"/>
      <c r="EX22" s="18">
        <f>SUM(EL22:EW22)</f>
        <v/>
      </c>
      <c r="EY22" s="58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18">
        <f>SUM(EZ22:FK22)</f>
        <v/>
      </c>
      <c r="FM22" s="58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18">
        <f>SUM(FN22:FY22)</f>
        <v/>
      </c>
      <c r="GA22" s="58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18">
        <f>SUM(GB22:GM22)</f>
        <v/>
      </c>
      <c r="GO22" s="58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18">
        <f>SUM(GP22:HA22)</f>
        <v/>
      </c>
      <c r="HC22" s="58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18">
        <f>SUM(HD22:HO22)</f>
        <v/>
      </c>
      <c r="HQ22" s="58" t="n"/>
      <c r="HR22" s="7" t="n">
        <v>1</v>
      </c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18">
        <f>SUM(HR22:IC22)</f>
        <v/>
      </c>
      <c r="IE22" s="58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18">
        <f>SUM(IF22:IQ22)</f>
        <v/>
      </c>
      <c r="IS22" s="58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18">
        <f>SUM(IT22:JE22)</f>
        <v/>
      </c>
      <c r="JG22" s="58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18">
        <f>SUM(JH22:JS22)</f>
        <v/>
      </c>
      <c r="JU22" s="58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18">
        <f>SUM(JV22:KG22)</f>
        <v/>
      </c>
      <c r="KI22" s="58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18">
        <f>SUM(KJ22:KU22)</f>
        <v/>
      </c>
      <c r="KW22" s="58" t="n"/>
      <c r="KX22" s="80" t="n"/>
      <c r="KY22" s="76" t="n"/>
    </row>
    <row r="23" ht="14.25" customFormat="1" customHeight="1" s="16">
      <c r="A23" s="12" t="inlineStr">
        <is>
          <t>5.Mer/ลูกค้าขอยกเลิก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4">
        <f>SUM(B23:M23)</f>
        <v/>
      </c>
      <c r="O23" s="15">
        <f>N23/N$46%</f>
        <v/>
      </c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4">
        <f>SUM(P23:AA23)</f>
        <v/>
      </c>
      <c r="AC23" s="15">
        <f>AB23/AB$46%</f>
        <v/>
      </c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4">
        <f>SUM(AD23:AO23)</f>
        <v/>
      </c>
      <c r="AQ23" s="15">
        <f>AP23/AP$46%</f>
        <v/>
      </c>
      <c r="AR23" s="13" t="n"/>
      <c r="AS23" s="13" t="n"/>
      <c r="AT23" s="13" t="n"/>
      <c r="AU23" s="13" t="n">
        <v>2</v>
      </c>
      <c r="AV23" s="13" t="n"/>
      <c r="AW23" s="13" t="n"/>
      <c r="AX23" s="13" t="n"/>
      <c r="AY23" s="13" t="n">
        <v>6</v>
      </c>
      <c r="AZ23" s="13" t="n"/>
      <c r="BA23" s="13" t="n"/>
      <c r="BB23" s="13" t="n"/>
      <c r="BC23" s="13" t="n"/>
      <c r="BD23" s="14">
        <f>SUM(AR23:BC23)</f>
        <v/>
      </c>
      <c r="BE23" s="15">
        <f>BD23/BD$46%</f>
        <v/>
      </c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4">
        <f>SUM(BF23:BQ23)</f>
        <v/>
      </c>
      <c r="BS23" s="15">
        <f>BR23/BR$46%</f>
        <v/>
      </c>
      <c r="BT23" s="13" t="n"/>
      <c r="BU23" s="13" t="n">
        <v>1</v>
      </c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4">
        <f>SUM(BT23:CE23)</f>
        <v/>
      </c>
      <c r="CG23" s="15">
        <f>CF23/CF$46%</f>
        <v/>
      </c>
      <c r="CH23" s="13" t="n"/>
      <c r="CI23" s="13" t="n"/>
      <c r="CJ23" s="13" t="n"/>
      <c r="CK23" s="13" t="n"/>
      <c r="CL23" s="13" t="n"/>
      <c r="CM23" s="13" t="n"/>
      <c r="CN23" s="13" t="n"/>
      <c r="CO23" s="13" t="n"/>
      <c r="CP23" s="13" t="n"/>
      <c r="CQ23" s="13" t="n"/>
      <c r="CR23" s="13" t="n"/>
      <c r="CS23" s="13" t="n"/>
      <c r="CT23" s="14">
        <f>SUM(CH23:CS23)</f>
        <v/>
      </c>
      <c r="CU23" s="15">
        <f>CT23/CT$46%</f>
        <v/>
      </c>
      <c r="CV23" s="13" t="n"/>
      <c r="CW23" s="13" t="n"/>
      <c r="CX23" s="13" t="n"/>
      <c r="CY23" s="13" t="n"/>
      <c r="CZ23" s="13" t="n"/>
      <c r="DA23" s="13" t="n"/>
      <c r="DB23" s="13" t="n"/>
      <c r="DC23" s="13" t="n"/>
      <c r="DD23" s="13" t="n"/>
      <c r="DE23" s="13" t="n"/>
      <c r="DF23" s="13" t="n"/>
      <c r="DG23" s="13" t="n"/>
      <c r="DH23" s="14">
        <f>SUM(CV23:DG23)</f>
        <v/>
      </c>
      <c r="DI23" s="15">
        <f>DH23/DH$46%</f>
        <v/>
      </c>
      <c r="DJ23" s="13" t="n"/>
      <c r="DK23" s="13" t="n"/>
      <c r="DL23" s="13" t="n"/>
      <c r="DM23" s="13" t="n"/>
      <c r="DN23" s="13" t="n"/>
      <c r="DO23" s="13" t="n"/>
      <c r="DP23" s="13" t="n"/>
      <c r="DQ23" s="13" t="n"/>
      <c r="DR23" s="13" t="n"/>
      <c r="DS23" s="13" t="n"/>
      <c r="DT23" s="13" t="n"/>
      <c r="DU23" s="13" t="n"/>
      <c r="DV23" s="14">
        <f>SUM(DJ23:DU23)</f>
        <v/>
      </c>
      <c r="DW23" s="15">
        <f>DV23/DV$46%</f>
        <v/>
      </c>
      <c r="DX23" s="13" t="n"/>
      <c r="DY23" s="13" t="n"/>
      <c r="DZ23" s="13" t="n"/>
      <c r="EA23" s="13" t="n"/>
      <c r="EB23" s="13" t="n"/>
      <c r="EC23" s="13" t="n"/>
      <c r="ED23" s="13" t="n"/>
      <c r="EE23" s="13" t="n"/>
      <c r="EF23" s="13" t="n"/>
      <c r="EG23" s="13" t="n"/>
      <c r="EH23" s="13" t="n"/>
      <c r="EI23" s="13" t="n"/>
      <c r="EJ23" s="14">
        <f>SUM(DX23:EI23)</f>
        <v/>
      </c>
      <c r="EK23" s="15">
        <f>EJ23/EJ$46%</f>
        <v/>
      </c>
      <c r="EL23" s="13" t="n"/>
      <c r="EM23" s="13" t="n"/>
      <c r="EN23" s="13" t="n"/>
      <c r="EO23" s="13" t="n"/>
      <c r="EP23" s="13" t="n"/>
      <c r="EQ23" s="13" t="n"/>
      <c r="ER23" s="13" t="n"/>
      <c r="ES23" s="13" t="n">
        <v>3</v>
      </c>
      <c r="ET23" s="13" t="n"/>
      <c r="EU23" s="13" t="n"/>
      <c r="EV23" s="13" t="n"/>
      <c r="EW23" s="13" t="n"/>
      <c r="EX23" s="14">
        <f>SUM(EL23:EW23)</f>
        <v/>
      </c>
      <c r="EY23" s="15">
        <f>EX23/EX$46%</f>
        <v/>
      </c>
      <c r="EZ23" s="13" t="n"/>
      <c r="FA23" s="13" t="n"/>
      <c r="FB23" s="13" t="n"/>
      <c r="FC23" s="13" t="n"/>
      <c r="FD23" s="13" t="n"/>
      <c r="FE23" s="13" t="n"/>
      <c r="FF23" s="13" t="n"/>
      <c r="FG23" s="13" t="n"/>
      <c r="FH23" s="13" t="n"/>
      <c r="FI23" s="13" t="n"/>
      <c r="FJ23" s="13" t="n"/>
      <c r="FK23" s="13" t="n"/>
      <c r="FL23" s="14">
        <f>SUM(EZ23:FK23)</f>
        <v/>
      </c>
      <c r="FM23" s="15">
        <f>FL23/FL$46%</f>
        <v/>
      </c>
      <c r="FN23" s="13" t="n"/>
      <c r="FO23" s="13" t="n"/>
      <c r="FP23" s="13" t="n"/>
      <c r="FQ23" s="13" t="n"/>
      <c r="FR23" s="13" t="n"/>
      <c r="FS23" s="13" t="n"/>
      <c r="FT23" s="13" t="n"/>
      <c r="FU23" s="13" t="n"/>
      <c r="FV23" s="13" t="n"/>
      <c r="FW23" s="13" t="n"/>
      <c r="FX23" s="13" t="n"/>
      <c r="FY23" s="13" t="n"/>
      <c r="FZ23" s="14">
        <f>SUM(FN23:FY23)</f>
        <v/>
      </c>
      <c r="GA23" s="15">
        <f>FZ23/FZ$46%</f>
        <v/>
      </c>
      <c r="GB23" s="13" t="n"/>
      <c r="GC23" s="13" t="n"/>
      <c r="GD23" s="13" t="n"/>
      <c r="GE23" s="13" t="n"/>
      <c r="GF23" s="13" t="n"/>
      <c r="GG23" s="13" t="n"/>
      <c r="GH23" s="13" t="n"/>
      <c r="GI23" s="13" t="n"/>
      <c r="GJ23" s="13" t="n"/>
      <c r="GK23" s="13" t="n"/>
      <c r="GL23" s="13" t="n"/>
      <c r="GM23" s="13" t="n"/>
      <c r="GN23" s="14">
        <f>SUM(GB23:GM23)</f>
        <v/>
      </c>
      <c r="GO23" s="15">
        <f>GN23/GN$46%</f>
        <v/>
      </c>
      <c r="GP23" s="14" t="n">
        <v>1</v>
      </c>
      <c r="GQ23" s="13" t="n"/>
      <c r="GR23" s="13" t="n"/>
      <c r="GS23" s="13" t="n"/>
      <c r="GT23" s="14" t="n">
        <v>1</v>
      </c>
      <c r="GU23" s="13" t="n"/>
      <c r="GV23" s="13" t="n"/>
      <c r="GW23" s="14" t="n">
        <v>1</v>
      </c>
      <c r="GX23" s="13" t="n"/>
      <c r="GY23" s="13" t="n"/>
      <c r="GZ23" s="13" t="n"/>
      <c r="HA23" s="13" t="n"/>
      <c r="HB23" s="14">
        <f>SUM(GP23:HA23)</f>
        <v/>
      </c>
      <c r="HC23" s="15">
        <f>HB23/HB$46%</f>
        <v/>
      </c>
      <c r="HD23" s="13" t="n"/>
      <c r="HE23" s="13" t="n"/>
      <c r="HF23" s="13" t="n"/>
      <c r="HG23" s="13" t="n"/>
      <c r="HH23" s="13" t="n"/>
      <c r="HI23" s="13" t="n"/>
      <c r="HJ23" s="13" t="n"/>
      <c r="HK23" s="13" t="n"/>
      <c r="HL23" s="13" t="n"/>
      <c r="HM23" s="13" t="n"/>
      <c r="HN23" s="13" t="n"/>
      <c r="HO23" s="13" t="n"/>
      <c r="HP23" s="14">
        <f>SUM(HD23:HO23)</f>
        <v/>
      </c>
      <c r="HQ23" s="15">
        <f>HP23/HP$46%</f>
        <v/>
      </c>
      <c r="HR23" s="13" t="n"/>
      <c r="HS23" s="13" t="n"/>
      <c r="HT23" s="13" t="n"/>
      <c r="HU23" s="13" t="n"/>
      <c r="HV23" s="13" t="n"/>
      <c r="HW23" s="13" t="n"/>
      <c r="HX23" s="13" t="n"/>
      <c r="HY23" s="13" t="n"/>
      <c r="HZ23" s="13" t="n"/>
      <c r="IA23" s="13" t="n"/>
      <c r="IB23" s="13" t="n"/>
      <c r="IC23" s="13" t="n"/>
      <c r="ID23" s="14">
        <f>SUM(HR23:IC23)</f>
        <v/>
      </c>
      <c r="IE23" s="15">
        <f>ID23/ID$46%</f>
        <v/>
      </c>
      <c r="IF23" s="13" t="n"/>
      <c r="IG23" s="13" t="n"/>
      <c r="IH23" s="13" t="n"/>
      <c r="II23" s="13" t="n"/>
      <c r="IJ23" s="13" t="n"/>
      <c r="IK23" s="13" t="n"/>
      <c r="IL23" s="13" t="n"/>
      <c r="IM23" s="13" t="n"/>
      <c r="IN23" s="13" t="n"/>
      <c r="IO23" s="13" t="n"/>
      <c r="IP23" s="13" t="n"/>
      <c r="IQ23" s="13" t="n"/>
      <c r="IR23" s="14">
        <f>SUM(IF23:IQ23)</f>
        <v/>
      </c>
      <c r="IS23" s="15">
        <f>IR23/IR$46%</f>
        <v/>
      </c>
      <c r="IT23" s="13" t="n"/>
      <c r="IU23" s="13" t="n"/>
      <c r="IV23" s="13" t="n"/>
      <c r="IW23" s="13" t="n"/>
      <c r="IX23" s="13" t="n"/>
      <c r="IY23" s="13" t="n"/>
      <c r="IZ23" s="13" t="n"/>
      <c r="JA23" s="13" t="n"/>
      <c r="JB23" s="13" t="n"/>
      <c r="JC23" s="13" t="n"/>
      <c r="JD23" s="13" t="n"/>
      <c r="JE23" s="13" t="n"/>
      <c r="JF23" s="14">
        <f>SUM(IT23:JE23)</f>
        <v/>
      </c>
      <c r="JG23" s="15">
        <f>JF23/JF$46%</f>
        <v/>
      </c>
      <c r="JH23" s="13" t="n"/>
      <c r="JI23" s="13" t="n"/>
      <c r="JJ23" s="13" t="n"/>
      <c r="JK23" s="13" t="n"/>
      <c r="JL23" s="13" t="n"/>
      <c r="JM23" s="13" t="n"/>
      <c r="JN23" s="13" t="n"/>
      <c r="JO23" s="13" t="n"/>
      <c r="JP23" s="13" t="n"/>
      <c r="JQ23" s="13" t="n"/>
      <c r="JR23" s="13" t="n"/>
      <c r="JS23" s="13" t="n"/>
      <c r="JT23" s="14">
        <f>SUM(JH23:JS23)</f>
        <v/>
      </c>
      <c r="JU23" s="15">
        <f>JT23/JT$46%</f>
        <v/>
      </c>
      <c r="JV23" s="13" t="n"/>
      <c r="JW23" s="13" t="n"/>
      <c r="JX23" s="13" t="n"/>
      <c r="JY23" s="13" t="n">
        <v>2</v>
      </c>
      <c r="JZ23" s="13" t="n"/>
      <c r="KA23" s="13" t="n"/>
      <c r="KB23" s="13" t="n">
        <v>2</v>
      </c>
      <c r="KC23" s="13" t="n"/>
      <c r="KD23" s="13" t="n"/>
      <c r="KE23" s="13" t="n"/>
      <c r="KF23" s="13" t="n"/>
      <c r="KG23" s="13" t="n"/>
      <c r="KH23" s="14">
        <f>SUM(JV23:KG23)</f>
        <v/>
      </c>
      <c r="KI23" s="15">
        <f>KH23/KH$46%</f>
        <v/>
      </c>
      <c r="KJ23" s="13" t="n"/>
      <c r="KK23" s="13" t="n">
        <v>8</v>
      </c>
      <c r="KL23" s="13" t="n">
        <v>1</v>
      </c>
      <c r="KM23" s="13" t="n">
        <v>4</v>
      </c>
      <c r="KN23" s="13" t="n"/>
      <c r="KO23" s="13" t="n">
        <v>9</v>
      </c>
      <c r="KP23" s="13" t="n"/>
      <c r="KQ23" s="13" t="n">
        <v>1</v>
      </c>
      <c r="KR23" s="13" t="n"/>
      <c r="KS23" s="13" t="n"/>
      <c r="KT23" s="13" t="n"/>
      <c r="KU23" s="13" t="n"/>
      <c r="KV23" s="14">
        <f>SUM(KJ23:KU23)</f>
        <v/>
      </c>
      <c r="KW23" s="15">
        <f>KV23/KV$46%</f>
        <v/>
      </c>
      <c r="KX23" s="78">
        <f>N23+AB23+AP23+BD23+BR23+CF23+CT23+DH23+DV23+EJ23+EX23+FZ23+GN23+HB23+HP23+ID23+IR23+JF23+KH23+KV23+JT23</f>
        <v/>
      </c>
      <c r="KY23" s="78">
        <f>KX23/KX$46%</f>
        <v/>
      </c>
    </row>
    <row r="24" ht="14.25" customFormat="1" customHeight="1" s="10">
      <c r="A24" s="17" t="inlineStr">
        <is>
          <t>5.1 เพราะราคา RM สูง ทำให้ราคาขายสูง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18">
        <f>SUM(B24:M24)</f>
        <v/>
      </c>
      <c r="O24" s="18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18">
        <f>SUM(P24:AA24)</f>
        <v/>
      </c>
      <c r="AC24" s="18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18">
        <f>SUM(AD24:AO24)</f>
        <v/>
      </c>
      <c r="AQ24" s="18" t="n"/>
      <c r="AR24" s="7" t="n"/>
      <c r="AS24" s="7" t="n"/>
      <c r="AT24" s="7" t="n"/>
      <c r="AU24" s="7" t="n"/>
      <c r="AV24" s="7" t="n"/>
      <c r="AW24" s="7" t="n"/>
      <c r="AX24" s="7" t="n"/>
      <c r="AY24" s="7" t="n">
        <v>2</v>
      </c>
      <c r="AZ24" s="7" t="n"/>
      <c r="BA24" s="7" t="n"/>
      <c r="BB24" s="7" t="n"/>
      <c r="BC24" s="7" t="n"/>
      <c r="BD24" s="18">
        <f>SUM(AR24:BC24)</f>
        <v/>
      </c>
      <c r="BE24" s="18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18">
        <f>SUM(BF24:BQ24)</f>
        <v/>
      </c>
      <c r="BS24" s="18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18">
        <f>SUM(BT24:CE24)</f>
        <v/>
      </c>
      <c r="CG24" s="18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18">
        <f>SUM(CH24:CS24)</f>
        <v/>
      </c>
      <c r="CU24" s="18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18">
        <f>SUM(CV24:DG24)</f>
        <v/>
      </c>
      <c r="DI24" s="18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18">
        <f>SUM(DJ24:DU24)</f>
        <v/>
      </c>
      <c r="DW24" s="18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18">
        <f>SUM(DX24:EI24)</f>
        <v/>
      </c>
      <c r="EK24" s="18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18">
        <f>SUM(EL24:EW24)</f>
        <v/>
      </c>
      <c r="EY24" s="18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18">
        <f>SUM(EZ24:FK24)</f>
        <v/>
      </c>
      <c r="FM24" s="18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18">
        <f>SUM(FN24:FY24)</f>
        <v/>
      </c>
      <c r="GA24" s="18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18">
        <f>SUM(GB24:GM24)</f>
        <v/>
      </c>
      <c r="GO24" s="18" t="n"/>
      <c r="GP24" s="7" t="n"/>
      <c r="GQ24" s="7" t="n"/>
      <c r="GR24" s="7" t="n"/>
      <c r="GS24" s="7" t="n"/>
      <c r="GT24" s="7" t="n">
        <v>1</v>
      </c>
      <c r="GU24" s="7" t="n"/>
      <c r="GV24" s="7" t="n"/>
      <c r="GW24" s="7" t="n">
        <v>1</v>
      </c>
      <c r="GX24" s="7" t="n"/>
      <c r="GY24" s="7" t="n"/>
      <c r="GZ24" s="7" t="n"/>
      <c r="HA24" s="7" t="n"/>
      <c r="HB24" s="18">
        <f>SUM(GP24:HA24)</f>
        <v/>
      </c>
      <c r="HC24" s="18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18">
        <f>SUM(HD24:HO24)</f>
        <v/>
      </c>
      <c r="HQ24" s="18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18">
        <f>SUM(HR24:IC24)</f>
        <v/>
      </c>
      <c r="IE24" s="18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18">
        <f>SUM(IF24:IQ24)</f>
        <v/>
      </c>
      <c r="IS24" s="18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18">
        <f>SUM(IT24:JE24)</f>
        <v/>
      </c>
      <c r="JG24" s="18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18">
        <f>SUM(JH24:JS24)</f>
        <v/>
      </c>
      <c r="JU24" s="18" t="n"/>
      <c r="JV24" s="7" t="n"/>
      <c r="JW24" s="7" t="n"/>
      <c r="JX24" s="7" t="n"/>
      <c r="JY24" s="7" t="n">
        <v>2</v>
      </c>
      <c r="JZ24" s="7" t="n"/>
      <c r="KA24" s="7" t="n"/>
      <c r="KB24" s="7" t="n">
        <v>2</v>
      </c>
      <c r="KC24" s="7" t="n"/>
      <c r="KD24" s="7" t="n"/>
      <c r="KE24" s="7" t="n"/>
      <c r="KF24" s="7" t="n"/>
      <c r="KG24" s="7" t="n"/>
      <c r="KH24" s="18">
        <f>SUM(JV24:KG24)</f>
        <v/>
      </c>
      <c r="KI24" s="18" t="n"/>
      <c r="KJ24" s="7" t="n"/>
      <c r="KK24" s="7" t="n">
        <v>7</v>
      </c>
      <c r="KL24" s="7" t="n">
        <v>1</v>
      </c>
      <c r="KM24" s="7" t="n">
        <v>4</v>
      </c>
      <c r="KN24" s="7" t="n"/>
      <c r="KO24" s="7" t="n">
        <v>9</v>
      </c>
      <c r="KP24" s="7" t="n"/>
      <c r="KQ24" s="7" t="n">
        <v>1</v>
      </c>
      <c r="KR24" s="7" t="n"/>
      <c r="KS24" s="7" t="n"/>
      <c r="KT24" s="7" t="n"/>
      <c r="KU24" s="7" t="n"/>
      <c r="KV24" s="18">
        <f>SUM(KJ24:KU24)</f>
        <v/>
      </c>
      <c r="KW24" s="18" t="n"/>
      <c r="KX24" s="783" t="n"/>
      <c r="KY24" s="76" t="n"/>
    </row>
    <row r="25" ht="14.25" customFormat="1" customHeight="1" s="10">
      <c r="A25" s="17" t="inlineStr">
        <is>
          <t>5.2 เพราะเลื่อนขาย ราคาขายปลีกสูง (ช่วงโควิด)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18">
        <f>SUM(B25:M25)</f>
        <v/>
      </c>
      <c r="O25" s="18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18">
        <f>SUM(P25:AA25)</f>
        <v/>
      </c>
      <c r="AC25" s="18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18">
        <f>SUM(AD25:AO25)</f>
        <v/>
      </c>
      <c r="AQ25" s="18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18">
        <f>SUM(AR25:BC25)</f>
        <v/>
      </c>
      <c r="BE25" s="18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18">
        <f>SUM(BF25:BQ25)</f>
        <v/>
      </c>
      <c r="BS25" s="18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18">
        <f>SUM(BT25:CE25)</f>
        <v/>
      </c>
      <c r="CG25" s="18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18">
        <f>SUM(CH25:CS25)</f>
        <v/>
      </c>
      <c r="CU25" s="18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18">
        <f>SUM(CV25:DG25)</f>
        <v/>
      </c>
      <c r="DI25" s="18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18">
        <f>SUM(DJ25:DU25)</f>
        <v/>
      </c>
      <c r="DW25" s="18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18">
        <f>SUM(DX25:EI25)</f>
        <v/>
      </c>
      <c r="EK25" s="18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18">
        <f>SUM(EL25:EW25)</f>
        <v/>
      </c>
      <c r="EY25" s="18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18">
        <f>SUM(EZ25:FK25)</f>
        <v/>
      </c>
      <c r="FM25" s="18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18">
        <f>SUM(FN25:FY25)</f>
        <v/>
      </c>
      <c r="GA25" s="18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18">
        <f>SUM(GB25:GM25)</f>
        <v/>
      </c>
      <c r="GO25" s="18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18">
        <f>SUM(GP25:HA25)</f>
        <v/>
      </c>
      <c r="HC25" s="18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18">
        <f>SUM(HD25:HO25)</f>
        <v/>
      </c>
      <c r="HQ25" s="18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18">
        <f>SUM(HR25:IC25)</f>
        <v/>
      </c>
      <c r="IE25" s="18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18">
        <f>SUM(IF25:IQ25)</f>
        <v/>
      </c>
      <c r="IS25" s="18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18">
        <f>SUM(IT25:JE25)</f>
        <v/>
      </c>
      <c r="JG25" s="18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18">
        <f>SUM(JH25:JS25)</f>
        <v/>
      </c>
      <c r="JU25" s="18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18">
        <f>SUM(JV25:KG25)</f>
        <v/>
      </c>
      <c r="KI25" s="18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18">
        <f>SUM(KJ25:KU25)</f>
        <v/>
      </c>
      <c r="KW25" s="18" t="n"/>
      <c r="KX25" s="783" t="n"/>
      <c r="KY25" s="76" t="n"/>
    </row>
    <row r="26" ht="16.5" customFormat="1" customHeight="1" s="10">
      <c r="A26" s="17" t="inlineStr">
        <is>
          <t>5.3 เพราะชิมเทียบ Control แล้ว ไม่ต้องการ IMP ระหว่าง Sensory Test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18">
        <f>SUM(B26:M26)</f>
        <v/>
      </c>
      <c r="O26" s="18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18">
        <f>SUM(P26:AA26)</f>
        <v/>
      </c>
      <c r="AC26" s="18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18">
        <f>SUM(AD26:AO26)</f>
        <v/>
      </c>
      <c r="AQ26" s="18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18">
        <f>SUM(AR26:BC26)</f>
        <v/>
      </c>
      <c r="BE26" s="18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18">
        <f>SUM(BF26:BQ26)</f>
        <v/>
      </c>
      <c r="BS26" s="18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18">
        <f>SUM(BT26:CE26)</f>
        <v/>
      </c>
      <c r="CG26" s="18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18">
        <f>SUM(CH26:CS26)</f>
        <v/>
      </c>
      <c r="CU26" s="18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18">
        <f>SUM(CV26:DG26)</f>
        <v/>
      </c>
      <c r="DI26" s="18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18">
        <f>SUM(DJ26:DU26)</f>
        <v/>
      </c>
      <c r="DW26" s="18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18">
        <f>SUM(DX26:EI26)</f>
        <v/>
      </c>
      <c r="EK26" s="18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18">
        <f>SUM(EL26:EW26)</f>
        <v/>
      </c>
      <c r="EY26" s="18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18">
        <f>SUM(EZ26:FK26)</f>
        <v/>
      </c>
      <c r="FM26" s="18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18">
        <f>SUM(FN26:FY26)</f>
        <v/>
      </c>
      <c r="GA26" s="18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18">
        <f>SUM(GB26:GM26)</f>
        <v/>
      </c>
      <c r="GO26" s="18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18">
        <f>SUM(GP26:HA26)</f>
        <v/>
      </c>
      <c r="HC26" s="18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18">
        <f>SUM(HD26:HO26)</f>
        <v/>
      </c>
      <c r="HQ26" s="18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18">
        <f>SUM(HR26:IC26)</f>
        <v/>
      </c>
      <c r="IE26" s="18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18">
        <f>SUM(IF26:IQ26)</f>
        <v/>
      </c>
      <c r="IS26" s="18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18">
        <f>SUM(IT26:JE26)</f>
        <v/>
      </c>
      <c r="JG26" s="18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18">
        <f>SUM(JH26:JS26)</f>
        <v/>
      </c>
      <c r="JU26" s="18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18">
        <f>SUM(JV26:KG26)</f>
        <v/>
      </c>
      <c r="KI26" s="18" t="n"/>
      <c r="KJ26" s="7" t="n"/>
      <c r="KK26" s="7" t="n">
        <v>1</v>
      </c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18">
        <f>SUM(KJ26:KU26)</f>
        <v/>
      </c>
      <c r="KW26" s="18" t="n"/>
      <c r="KX26" s="783" t="n"/>
      <c r="KY26" s="76" t="n"/>
    </row>
    <row r="27" ht="14.25" customFormat="1" customHeight="1" s="10">
      <c r="A27" s="17" t="inlineStr">
        <is>
          <t>5.4 เพราะเปลี่ยน Concept ใหม่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18">
        <f>SUM(B27:M27)</f>
        <v/>
      </c>
      <c r="O27" s="18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18">
        <f>SUM(P27:AA27)</f>
        <v/>
      </c>
      <c r="AC27" s="18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18">
        <f>SUM(AD27:AO27)</f>
        <v/>
      </c>
      <c r="AQ27" s="18" t="n"/>
      <c r="AR27" s="7" t="n"/>
      <c r="AS27" s="7" t="n"/>
      <c r="AT27" s="7" t="n"/>
      <c r="AU27" s="7" t="n">
        <v>1</v>
      </c>
      <c r="AV27" s="7" t="n"/>
      <c r="AW27" s="7" t="n"/>
      <c r="AX27" s="7" t="n"/>
      <c r="AY27" s="7" t="n">
        <v>3</v>
      </c>
      <c r="AZ27" s="7" t="n"/>
      <c r="BA27" s="7" t="n"/>
      <c r="BB27" s="7" t="n"/>
      <c r="BC27" s="7" t="n"/>
      <c r="BD27" s="18">
        <f>SUM(AR27:BC27)</f>
        <v/>
      </c>
      <c r="BE27" s="18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18">
        <f>SUM(BF27:BQ27)</f>
        <v/>
      </c>
      <c r="BS27" s="18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18">
        <f>SUM(BT27:CE27)</f>
        <v/>
      </c>
      <c r="CG27" s="18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18">
        <f>SUM(CH27:CS27)</f>
        <v/>
      </c>
      <c r="CU27" s="18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18">
        <f>SUM(CV27:DG27)</f>
        <v/>
      </c>
      <c r="DI27" s="18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18">
        <f>SUM(DJ27:DU27)</f>
        <v/>
      </c>
      <c r="DW27" s="18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18">
        <f>SUM(DX27:EI27)</f>
        <v/>
      </c>
      <c r="EK27" s="18" t="n"/>
      <c r="EL27" s="7" t="n"/>
      <c r="EM27" s="7" t="n"/>
      <c r="EN27" s="7" t="n"/>
      <c r="EO27" s="7" t="n"/>
      <c r="EP27" s="7" t="n"/>
      <c r="EQ27" s="7" t="n"/>
      <c r="ER27" s="7" t="n"/>
      <c r="ES27" s="7" t="n">
        <v>3</v>
      </c>
      <c r="ET27" s="7" t="n"/>
      <c r="EU27" s="7" t="n"/>
      <c r="EV27" s="7" t="n"/>
      <c r="EW27" s="7" t="n"/>
      <c r="EX27" s="18">
        <f>SUM(EL27:EW27)</f>
        <v/>
      </c>
      <c r="EY27" s="18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18">
        <f>SUM(EZ27:FK27)</f>
        <v/>
      </c>
      <c r="FM27" s="18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18">
        <f>SUM(FN27:FY27)</f>
        <v/>
      </c>
      <c r="GA27" s="18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18">
        <f>SUM(GB27:GM27)</f>
        <v/>
      </c>
      <c r="GO27" s="18" t="n"/>
      <c r="GP27" s="7" t="n">
        <v>1</v>
      </c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18">
        <f>SUM(GP27:HA27)</f>
        <v/>
      </c>
      <c r="HC27" s="18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18">
        <f>SUM(HD27:HO27)</f>
        <v/>
      </c>
      <c r="HQ27" s="18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18">
        <f>SUM(HR27:IC27)</f>
        <v/>
      </c>
      <c r="IE27" s="18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18">
        <f>SUM(IF27:IQ27)</f>
        <v/>
      </c>
      <c r="IS27" s="18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18">
        <f>SUM(IT27:JE27)</f>
        <v/>
      </c>
      <c r="JG27" s="18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18">
        <f>SUM(JH27:JS27)</f>
        <v/>
      </c>
      <c r="JU27" s="18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18">
        <f>SUM(JV27:KG27)</f>
        <v/>
      </c>
      <c r="KI27" s="18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18">
        <f>SUM(KJ27:KU27)</f>
        <v/>
      </c>
      <c r="KW27" s="18" t="n"/>
      <c r="KX27" s="783" t="n"/>
      <c r="KY27" s="76" t="n"/>
    </row>
    <row r="28" ht="14.25" customFormat="1" customHeight="1" s="10">
      <c r="A28" s="17" t="inlineStr">
        <is>
          <t>5.5 เพราะ sensory test ไม่ผ่าน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18">
        <f>SUM(B28:M28)</f>
        <v/>
      </c>
      <c r="O28" s="18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18">
        <f>SUM(P28:AA28)</f>
        <v/>
      </c>
      <c r="AC28" s="18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18">
        <f>SUM(AD28:AO28)</f>
        <v/>
      </c>
      <c r="AQ28" s="18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18">
        <f>SUM(AR28:BC28)</f>
        <v/>
      </c>
      <c r="BE28" s="18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18">
        <f>SUM(BF28:BQ28)</f>
        <v/>
      </c>
      <c r="BS28" s="18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18">
        <f>SUM(BT28:CE28)</f>
        <v/>
      </c>
      <c r="CG28" s="18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18">
        <f>SUM(CH28:CS28)</f>
        <v/>
      </c>
      <c r="CU28" s="18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18">
        <f>SUM(CV28:DG28)</f>
        <v/>
      </c>
      <c r="DI28" s="18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18">
        <f>SUM(DJ28:DU28)</f>
        <v/>
      </c>
      <c r="DW28" s="18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18">
        <f>SUM(DX28:EI28)</f>
        <v/>
      </c>
      <c r="EK28" s="18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18">
        <f>SUM(EL28:EW28)</f>
        <v/>
      </c>
      <c r="EY28" s="18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18">
        <f>SUM(EZ28:FK28)</f>
        <v/>
      </c>
      <c r="FM28" s="18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18">
        <f>SUM(FN28:FY28)</f>
        <v/>
      </c>
      <c r="GA28" s="18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18">
        <f>SUM(GB28:GM28)</f>
        <v/>
      </c>
      <c r="GO28" s="18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18">
        <f>SUM(GP28:HA28)</f>
        <v/>
      </c>
      <c r="HC28" s="18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18">
        <f>SUM(HD28:HO28)</f>
        <v/>
      </c>
      <c r="HQ28" s="18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18">
        <f>SUM(HR28:IC28)</f>
        <v/>
      </c>
      <c r="IE28" s="18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18">
        <f>SUM(IF28:IQ28)</f>
        <v/>
      </c>
      <c r="IS28" s="18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18">
        <f>SUM(IT28:JE28)</f>
        <v/>
      </c>
      <c r="JG28" s="18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18">
        <f>SUM(JH28:JS28)</f>
        <v/>
      </c>
      <c r="JU28" s="18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18">
        <f>SUM(JV28:KG28)</f>
        <v/>
      </c>
      <c r="KI28" s="18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18">
        <f>SUM(KJ28:KU28)</f>
        <v/>
      </c>
      <c r="KW28" s="18" t="n"/>
      <c r="KX28" s="783" t="n"/>
      <c r="KY28" s="76" t="n"/>
    </row>
    <row r="29" ht="14.25" customFormat="1" customHeight="1" s="10">
      <c r="A29" s="17" t="inlineStr">
        <is>
          <t>5.6 เพราะไม่สามารถหาสาขาที่จะจำหน่ายได้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18">
        <f>SUM(B29:M29)</f>
        <v/>
      </c>
      <c r="O29" s="18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18">
        <f>SUM(P29:AA29)</f>
        <v/>
      </c>
      <c r="AC29" s="18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18">
        <f>SUM(AD29:AO29)</f>
        <v/>
      </c>
      <c r="AQ29" s="18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18">
        <f>SUM(AR29:BC29)</f>
        <v/>
      </c>
      <c r="BE29" s="18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18">
        <f>SUM(BF29:BQ29)</f>
        <v/>
      </c>
      <c r="BS29" s="18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18">
        <f>SUM(BT29:CE29)</f>
        <v/>
      </c>
      <c r="CG29" s="18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18">
        <f>SUM(CH29:CS29)</f>
        <v/>
      </c>
      <c r="CU29" s="18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18">
        <f>SUM(CV29:DG29)</f>
        <v/>
      </c>
      <c r="DI29" s="18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18">
        <f>SUM(DJ29:DU29)</f>
        <v/>
      </c>
      <c r="DW29" s="18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18">
        <f>SUM(DX29:EI29)</f>
        <v/>
      </c>
      <c r="EK29" s="18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18">
        <f>SUM(EL29:EW29)</f>
        <v/>
      </c>
      <c r="EY29" s="18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18">
        <f>SUM(EZ29:FK29)</f>
        <v/>
      </c>
      <c r="FM29" s="18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18">
        <f>SUM(FN29:FY29)</f>
        <v/>
      </c>
      <c r="GA29" s="18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18">
        <f>SUM(GB29:GM29)</f>
        <v/>
      </c>
      <c r="GO29" s="18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18">
        <f>SUM(GP29:HA29)</f>
        <v/>
      </c>
      <c r="HC29" s="18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18">
        <f>SUM(HD29:HO29)</f>
        <v/>
      </c>
      <c r="HQ29" s="18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18">
        <f>SUM(HR29:IC29)</f>
        <v/>
      </c>
      <c r="IE29" s="18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18">
        <f>SUM(IF29:IQ29)</f>
        <v/>
      </c>
      <c r="IS29" s="18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18">
        <f>SUM(IT29:JE29)</f>
        <v/>
      </c>
      <c r="JG29" s="18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18">
        <f>SUM(JH29:JS29)</f>
        <v/>
      </c>
      <c r="JU29" s="18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18">
        <f>SUM(JV29:KG29)</f>
        <v/>
      </c>
      <c r="KI29" s="18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18">
        <f>SUM(KJ29:KU29)</f>
        <v/>
      </c>
      <c r="KW29" s="18" t="n"/>
      <c r="KX29" s="783" t="n"/>
      <c r="KY29" s="76" t="n"/>
    </row>
    <row r="30" ht="14.25" customFormat="1" customHeight="1" s="10">
      <c r="A30" s="17" t="inlineStr">
        <is>
          <t xml:space="preserve">5.7 เพราะไม่ผ่านวง Food Committee 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18">
        <f>SUM(B30:M30)</f>
        <v/>
      </c>
      <c r="O30" s="18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18">
        <f>SUM(P30:AA30)</f>
        <v/>
      </c>
      <c r="AC30" s="18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18">
        <f>SUM(AD30:AO30)</f>
        <v/>
      </c>
      <c r="AQ30" s="18" t="n"/>
      <c r="AR30" s="7" t="n"/>
      <c r="AS30" s="7" t="n"/>
      <c r="AT30" s="7" t="n"/>
      <c r="AU30" s="7" t="n">
        <v>1</v>
      </c>
      <c r="AV30" s="7" t="n"/>
      <c r="AW30" s="7" t="n"/>
      <c r="AX30" s="7" t="n"/>
      <c r="AY30" s="7" t="n">
        <v>1</v>
      </c>
      <c r="AZ30" s="7" t="n"/>
      <c r="BA30" s="7" t="n"/>
      <c r="BB30" s="7" t="n"/>
      <c r="BC30" s="7" t="n"/>
      <c r="BD30" s="18">
        <f>SUM(AR30:BC30)</f>
        <v/>
      </c>
      <c r="BE30" s="18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18">
        <f>SUM(BF30:BQ30)</f>
        <v/>
      </c>
      <c r="BS30" s="18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18">
        <f>SUM(BT30:CE30)</f>
        <v/>
      </c>
      <c r="CG30" s="18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18">
        <f>SUM(CH30:CS30)</f>
        <v/>
      </c>
      <c r="CU30" s="18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18">
        <f>SUM(CV30:DG30)</f>
        <v/>
      </c>
      <c r="DI30" s="18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18">
        <f>SUM(DJ30:DU30)</f>
        <v/>
      </c>
      <c r="DW30" s="18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18">
        <f>SUM(DX30:EI30)</f>
        <v/>
      </c>
      <c r="EK30" s="18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18">
        <f>SUM(EL30:EW30)</f>
        <v/>
      </c>
      <c r="EY30" s="18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18">
        <f>SUM(EZ30:FK30)</f>
        <v/>
      </c>
      <c r="FM30" s="18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18">
        <f>SUM(FN30:FY30)</f>
        <v/>
      </c>
      <c r="GA30" s="18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18">
        <f>SUM(GB30:GM30)</f>
        <v/>
      </c>
      <c r="GO30" s="18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18">
        <f>SUM(GP30:HA30)</f>
        <v/>
      </c>
      <c r="HC30" s="18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18">
        <f>SUM(HD30:HO30)</f>
        <v/>
      </c>
      <c r="HQ30" s="18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18">
        <f>SUM(HR30:IC30)</f>
        <v/>
      </c>
      <c r="IE30" s="18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18">
        <f>SUM(IF30:IQ30)</f>
        <v/>
      </c>
      <c r="IS30" s="18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18">
        <f>SUM(IT30:JE30)</f>
        <v/>
      </c>
      <c r="JG30" s="18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18">
        <f>SUM(JH30:JS30)</f>
        <v/>
      </c>
      <c r="JU30" s="18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18">
        <f>SUM(JV30:KG30)</f>
        <v/>
      </c>
      <c r="KI30" s="18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18">
        <f>SUM(KJ30:KU30)</f>
        <v/>
      </c>
      <c r="KW30" s="18" t="n"/>
      <c r="KX30" s="783" t="n"/>
      <c r="KY30" s="76" t="n"/>
    </row>
    <row r="31" ht="14.25" customFormat="1" customHeight="1" s="10">
      <c r="A31" s="17" t="inlineStr">
        <is>
          <t>5.8 เพราะจากการสำรวจผู้บริโภคยอมรับลักษณะปรากฏหรือรสชาติเดิม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18">
        <f>SUM(B31:M31)</f>
        <v/>
      </c>
      <c r="O31" s="18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18">
        <f>SUM(P31:AA31)</f>
        <v/>
      </c>
      <c r="AC31" s="18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18">
        <f>SUM(AD31:AO31)</f>
        <v/>
      </c>
      <c r="AQ31" s="18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18">
        <f>SUM(AR31:BC31)</f>
        <v/>
      </c>
      <c r="BE31" s="18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18">
        <f>SUM(BF31:BQ31)</f>
        <v/>
      </c>
      <c r="BS31" s="18" t="n"/>
      <c r="BT31" s="7" t="n"/>
      <c r="BU31" s="7" t="n">
        <v>1</v>
      </c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18">
        <f>SUM(BT31:CE31)</f>
        <v/>
      </c>
      <c r="CG31" s="18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18">
        <f>SUM(CH31:CS31)</f>
        <v/>
      </c>
      <c r="CU31" s="18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18">
        <f>SUM(CV31:DG31)</f>
        <v/>
      </c>
      <c r="DI31" s="18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18">
        <f>SUM(DJ31:DU31)</f>
        <v/>
      </c>
      <c r="DW31" s="18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18">
        <f>SUM(DX31:EI31)</f>
        <v/>
      </c>
      <c r="EK31" s="18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18">
        <f>SUM(EL31:EW31)</f>
        <v/>
      </c>
      <c r="EY31" s="18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18">
        <f>SUM(EZ31:FK31)</f>
        <v/>
      </c>
      <c r="FM31" s="18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18">
        <f>SUM(FN31:FY31)</f>
        <v/>
      </c>
      <c r="GA31" s="18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18">
        <f>SUM(GB31:GM31)</f>
        <v/>
      </c>
      <c r="GO31" s="18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18">
        <f>SUM(GP31:HA31)</f>
        <v/>
      </c>
      <c r="HC31" s="18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18">
        <f>SUM(HD31:HO31)</f>
        <v/>
      </c>
      <c r="HQ31" s="18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18">
        <f>SUM(HR31:IC31)</f>
        <v/>
      </c>
      <c r="IE31" s="18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18">
        <f>SUM(IF31:IQ31)</f>
        <v/>
      </c>
      <c r="IS31" s="18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18">
        <f>SUM(IT31:JE31)</f>
        <v/>
      </c>
      <c r="JG31" s="18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18">
        <f>SUM(JH31:JS31)</f>
        <v/>
      </c>
      <c r="JU31" s="18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18">
        <f>SUM(JV31:KG31)</f>
        <v/>
      </c>
      <c r="KI31" s="18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18">
        <f>SUM(KJ31:KU31)</f>
        <v/>
      </c>
      <c r="KW31" s="18" t="n"/>
      <c r="KX31" s="783" t="n"/>
      <c r="KY31" s="76" t="n"/>
    </row>
    <row r="32" ht="14.25" customFormat="1" customHeight="1" s="16">
      <c r="A32" s="12" t="inlineStr">
        <is>
          <t>6.CPRAM ขอยกเลิก</t>
        </is>
      </c>
      <c r="B32" s="21" t="n"/>
      <c r="C32" s="21" t="n"/>
      <c r="D32" s="13" t="n"/>
      <c r="E32" s="21" t="n"/>
      <c r="F32" s="21" t="n"/>
      <c r="G32" s="21" t="n"/>
      <c r="H32" s="21" t="n"/>
      <c r="I32" s="21" t="n"/>
      <c r="J32" s="21" t="n"/>
      <c r="K32" s="21" t="n"/>
      <c r="L32" s="13" t="n"/>
      <c r="M32" s="21" t="n"/>
      <c r="N32" s="14">
        <f>SUM(B32:M32)</f>
        <v/>
      </c>
      <c r="O32" s="15">
        <f>N32/N$46%</f>
        <v/>
      </c>
      <c r="P32" s="21" t="n"/>
      <c r="Q32" s="21" t="n"/>
      <c r="R32" s="13" t="n"/>
      <c r="S32" s="21" t="n"/>
      <c r="T32" s="21" t="n"/>
      <c r="U32" s="21" t="n"/>
      <c r="V32" s="21" t="n"/>
      <c r="W32" s="21" t="n"/>
      <c r="X32" s="21" t="n"/>
      <c r="Y32" s="21" t="n"/>
      <c r="Z32" s="13" t="n"/>
      <c r="AA32" s="21" t="n"/>
      <c r="AB32" s="14">
        <f>SUM(P32:AA32)</f>
        <v/>
      </c>
      <c r="AC32" s="15">
        <f>AB32/AB$46%</f>
        <v/>
      </c>
      <c r="AD32" s="21" t="n"/>
      <c r="AE32" s="21" t="n"/>
      <c r="AF32" s="13" t="n"/>
      <c r="AG32" s="21" t="n"/>
      <c r="AH32" s="21" t="n"/>
      <c r="AI32" s="21" t="n"/>
      <c r="AJ32" s="21" t="n"/>
      <c r="AK32" s="21" t="n"/>
      <c r="AL32" s="21" t="n"/>
      <c r="AM32" s="21" t="n"/>
      <c r="AN32" s="13" t="n"/>
      <c r="AO32" s="21" t="n"/>
      <c r="AP32" s="14">
        <f>SUM(AD32:AO32)</f>
        <v/>
      </c>
      <c r="AQ32" s="15">
        <f>AP32/AP$46%</f>
        <v/>
      </c>
      <c r="AR32" s="21" t="n"/>
      <c r="AS32" s="21" t="n"/>
      <c r="AT32" s="13" t="n"/>
      <c r="AU32" s="21" t="n"/>
      <c r="AV32" s="21" t="n"/>
      <c r="AW32" s="21" t="n"/>
      <c r="AX32" s="21" t="n"/>
      <c r="AY32" s="21" t="n"/>
      <c r="AZ32" s="21" t="n"/>
      <c r="BA32" s="21" t="n"/>
      <c r="BB32" s="13" t="n"/>
      <c r="BC32" s="21" t="n"/>
      <c r="BD32" s="14">
        <f>SUM(AR32:BC32)</f>
        <v/>
      </c>
      <c r="BE32" s="15">
        <f>BD32/BD$46%</f>
        <v/>
      </c>
      <c r="BF32" s="21" t="n"/>
      <c r="BG32" s="21" t="n"/>
      <c r="BH32" s="13" t="n"/>
      <c r="BI32" s="21" t="n"/>
      <c r="BJ32" s="21" t="n"/>
      <c r="BK32" s="21" t="n"/>
      <c r="BL32" s="21" t="n"/>
      <c r="BM32" s="21" t="n"/>
      <c r="BN32" s="21" t="n"/>
      <c r="BO32" s="21" t="n"/>
      <c r="BP32" s="13" t="n"/>
      <c r="BQ32" s="21" t="n"/>
      <c r="BR32" s="14">
        <f>SUM(BF32:BQ32)</f>
        <v/>
      </c>
      <c r="BS32" s="15">
        <f>BR32/BR$46%</f>
        <v/>
      </c>
      <c r="BT32" s="21" t="n"/>
      <c r="BU32" s="21" t="n"/>
      <c r="BV32" s="13" t="n"/>
      <c r="BW32" s="21" t="n"/>
      <c r="BX32" s="21" t="n"/>
      <c r="BY32" s="21" t="n"/>
      <c r="BZ32" s="21" t="n"/>
      <c r="CA32" s="21" t="n"/>
      <c r="CB32" s="21" t="n"/>
      <c r="CC32" s="21" t="n"/>
      <c r="CD32" s="13" t="n"/>
      <c r="CE32" s="21" t="n"/>
      <c r="CF32" s="14">
        <f>SUM(BT32:CE32)</f>
        <v/>
      </c>
      <c r="CG32" s="15">
        <f>CF32/CF$46%</f>
        <v/>
      </c>
      <c r="CH32" s="21" t="n"/>
      <c r="CI32" s="21" t="n"/>
      <c r="CJ32" s="13" t="n"/>
      <c r="CK32" s="21" t="n"/>
      <c r="CL32" s="21" t="n"/>
      <c r="CM32" s="21" t="n"/>
      <c r="CN32" s="21" t="n"/>
      <c r="CO32" s="21" t="n"/>
      <c r="CP32" s="21" t="n"/>
      <c r="CQ32" s="21" t="n"/>
      <c r="CR32" s="13" t="n"/>
      <c r="CS32" s="21" t="n"/>
      <c r="CT32" s="14">
        <f>SUM(CH32:CS32)</f>
        <v/>
      </c>
      <c r="CU32" s="15">
        <f>CT32/CT$46%</f>
        <v/>
      </c>
      <c r="CV32" s="21" t="n"/>
      <c r="CW32" s="21" t="n"/>
      <c r="CX32" s="13" t="n"/>
      <c r="CY32" s="21" t="n"/>
      <c r="CZ32" s="21" t="n"/>
      <c r="DA32" s="21" t="n"/>
      <c r="DB32" s="21" t="n"/>
      <c r="DC32" s="21" t="n"/>
      <c r="DD32" s="21" t="n"/>
      <c r="DE32" s="21" t="n"/>
      <c r="DF32" s="13" t="n"/>
      <c r="DG32" s="21" t="n"/>
      <c r="DH32" s="14">
        <f>SUM(CV32:DG32)</f>
        <v/>
      </c>
      <c r="DI32" s="15">
        <f>DH32/DH$46%</f>
        <v/>
      </c>
      <c r="DJ32" s="21" t="n"/>
      <c r="DK32" s="21" t="n"/>
      <c r="DL32" s="13" t="n"/>
      <c r="DM32" s="21" t="n"/>
      <c r="DN32" s="21" t="n"/>
      <c r="DO32" s="21" t="n"/>
      <c r="DP32" s="21" t="n"/>
      <c r="DQ32" s="21" t="n"/>
      <c r="DR32" s="21" t="n"/>
      <c r="DS32" s="21" t="n"/>
      <c r="DT32" s="13" t="n"/>
      <c r="DU32" s="21" t="n"/>
      <c r="DV32" s="14">
        <f>SUM(DJ32:DU32)</f>
        <v/>
      </c>
      <c r="DW32" s="15">
        <f>DV32/DV$46%</f>
        <v/>
      </c>
      <c r="DX32" s="21" t="n"/>
      <c r="DY32" s="21" t="n"/>
      <c r="DZ32" s="13" t="n"/>
      <c r="EA32" s="21" t="n"/>
      <c r="EB32" s="21" t="n"/>
      <c r="EC32" s="21" t="n"/>
      <c r="ED32" s="21" t="n"/>
      <c r="EE32" s="21" t="n"/>
      <c r="EF32" s="21" t="n"/>
      <c r="EG32" s="21" t="n"/>
      <c r="EH32" s="13" t="n"/>
      <c r="EI32" s="21" t="n"/>
      <c r="EJ32" s="14">
        <f>SUM(DX32:EI32)</f>
        <v/>
      </c>
      <c r="EK32" s="15">
        <f>EJ32/EJ$46%</f>
        <v/>
      </c>
      <c r="EL32" s="21" t="n"/>
      <c r="EM32" s="21" t="n"/>
      <c r="EN32" s="13" t="n"/>
      <c r="EO32" s="21" t="n"/>
      <c r="EP32" s="21" t="n"/>
      <c r="EQ32" s="21" t="n"/>
      <c r="ER32" s="21" t="n"/>
      <c r="ES32" s="21" t="n"/>
      <c r="ET32" s="21" t="n"/>
      <c r="EU32" s="21" t="n"/>
      <c r="EV32" s="13" t="n"/>
      <c r="EW32" s="21" t="n"/>
      <c r="EX32" s="14">
        <f>SUM(EL32:EW32)</f>
        <v/>
      </c>
      <c r="EY32" s="15">
        <f>EX32/EX$46%</f>
        <v/>
      </c>
      <c r="EZ32" s="21" t="n"/>
      <c r="FA32" s="21" t="n"/>
      <c r="FB32" s="13" t="n"/>
      <c r="FC32" s="21" t="n"/>
      <c r="FD32" s="21" t="n"/>
      <c r="FE32" s="21" t="n"/>
      <c r="FF32" s="21" t="n"/>
      <c r="FG32" s="21" t="n"/>
      <c r="FH32" s="21" t="n"/>
      <c r="FI32" s="21" t="n"/>
      <c r="FJ32" s="13" t="n"/>
      <c r="FK32" s="21" t="n"/>
      <c r="FL32" s="14">
        <f>SUM(EZ32:FK32)</f>
        <v/>
      </c>
      <c r="FM32" s="15">
        <f>FL32/FL$46%</f>
        <v/>
      </c>
      <c r="FN32" s="21" t="n"/>
      <c r="FO32" s="21" t="n"/>
      <c r="FP32" s="13" t="n"/>
      <c r="FQ32" s="21" t="n"/>
      <c r="FR32" s="21" t="n"/>
      <c r="FS32" s="21" t="n"/>
      <c r="FT32" s="21" t="n"/>
      <c r="FU32" s="21" t="n"/>
      <c r="FV32" s="21" t="n"/>
      <c r="FW32" s="21" t="n"/>
      <c r="FX32" s="13" t="n"/>
      <c r="FY32" s="21" t="n"/>
      <c r="FZ32" s="14">
        <f>SUM(FN32:FY32)</f>
        <v/>
      </c>
      <c r="GA32" s="15">
        <f>FZ32/FZ$46%</f>
        <v/>
      </c>
      <c r="GB32" s="21" t="n"/>
      <c r="GC32" s="21" t="n"/>
      <c r="GD32" s="13" t="n"/>
      <c r="GE32" s="21" t="n"/>
      <c r="GF32" s="21" t="n"/>
      <c r="GG32" s="21" t="n"/>
      <c r="GH32" s="21" t="n"/>
      <c r="GI32" s="21" t="n"/>
      <c r="GJ32" s="21" t="n"/>
      <c r="GK32" s="21" t="n"/>
      <c r="GL32" s="13" t="n"/>
      <c r="GM32" s="21" t="n"/>
      <c r="GN32" s="14">
        <f>SUM(GB32:GM32)</f>
        <v/>
      </c>
      <c r="GO32" s="15">
        <f>GN32/GN$46%</f>
        <v/>
      </c>
      <c r="GP32" s="21" t="n"/>
      <c r="GQ32" s="21" t="n"/>
      <c r="GR32" s="13" t="n"/>
      <c r="GS32" s="21" t="n"/>
      <c r="GT32" s="21" t="n"/>
      <c r="GU32" s="21" t="n"/>
      <c r="GV32" s="21" t="n"/>
      <c r="GW32" s="21" t="n"/>
      <c r="GX32" s="21" t="n"/>
      <c r="GY32" s="21" t="n"/>
      <c r="GZ32" s="13" t="n"/>
      <c r="HA32" s="21" t="n"/>
      <c r="HB32" s="14">
        <f>SUM(GP32:HA32)</f>
        <v/>
      </c>
      <c r="HC32" s="15">
        <f>HB32/HB$46%</f>
        <v/>
      </c>
      <c r="HD32" s="21" t="n"/>
      <c r="HE32" s="21" t="n"/>
      <c r="HF32" s="13" t="n"/>
      <c r="HG32" s="21" t="n"/>
      <c r="HH32" s="21" t="n"/>
      <c r="HI32" s="21" t="n"/>
      <c r="HJ32" s="21" t="n"/>
      <c r="HK32" s="21" t="n"/>
      <c r="HL32" s="21" t="n"/>
      <c r="HM32" s="21" t="n"/>
      <c r="HN32" s="13" t="n"/>
      <c r="HO32" s="21" t="n"/>
      <c r="HP32" s="14">
        <f>SUM(HD32:HO32)</f>
        <v/>
      </c>
      <c r="HQ32" s="15">
        <f>HP32/HP$46%</f>
        <v/>
      </c>
      <c r="HR32" s="21" t="n"/>
      <c r="HS32" s="21" t="n"/>
      <c r="HT32" s="13" t="n"/>
      <c r="HU32" s="21" t="n"/>
      <c r="HV32" s="21" t="n"/>
      <c r="HW32" s="21" t="n"/>
      <c r="HX32" s="21" t="n"/>
      <c r="HY32" s="21" t="n"/>
      <c r="HZ32" s="21" t="n"/>
      <c r="IA32" s="21" t="n"/>
      <c r="IB32" s="13" t="n"/>
      <c r="IC32" s="21" t="n"/>
      <c r="ID32" s="14">
        <f>SUM(HR32:IC32)</f>
        <v/>
      </c>
      <c r="IE32" s="15">
        <f>ID32/ID$46%</f>
        <v/>
      </c>
      <c r="IF32" s="21" t="n"/>
      <c r="IG32" s="21" t="n"/>
      <c r="IH32" s="13" t="n"/>
      <c r="II32" s="21" t="n"/>
      <c r="IJ32" s="21" t="n"/>
      <c r="IK32" s="21" t="n"/>
      <c r="IL32" s="21" t="n"/>
      <c r="IM32" s="21" t="n"/>
      <c r="IN32" s="21" t="n"/>
      <c r="IO32" s="21" t="n"/>
      <c r="IP32" s="13" t="n"/>
      <c r="IQ32" s="21" t="n"/>
      <c r="IR32" s="14">
        <f>SUM(IF32:IQ32)</f>
        <v/>
      </c>
      <c r="IS32" s="15">
        <f>IR32/IR$46%</f>
        <v/>
      </c>
      <c r="IT32" s="21" t="n"/>
      <c r="IU32" s="21" t="n"/>
      <c r="IV32" s="13" t="n"/>
      <c r="IW32" s="21" t="n"/>
      <c r="IX32" s="21" t="n"/>
      <c r="IY32" s="21" t="n"/>
      <c r="IZ32" s="21" t="n"/>
      <c r="JA32" s="21" t="n"/>
      <c r="JB32" s="21" t="n"/>
      <c r="JC32" s="21" t="n"/>
      <c r="JD32" s="13" t="n"/>
      <c r="JE32" s="21" t="n"/>
      <c r="JF32" s="14">
        <f>SUM(IT32:JE32)</f>
        <v/>
      </c>
      <c r="JG32" s="15">
        <f>JF32/JF$46%</f>
        <v/>
      </c>
      <c r="JH32" s="21" t="n"/>
      <c r="JI32" s="21" t="n"/>
      <c r="JJ32" s="13" t="n"/>
      <c r="JK32" s="21" t="n"/>
      <c r="JL32" s="21" t="n"/>
      <c r="JM32" s="21" t="n"/>
      <c r="JN32" s="21" t="n"/>
      <c r="JO32" s="21" t="n"/>
      <c r="JP32" s="21" t="n"/>
      <c r="JQ32" s="21" t="n"/>
      <c r="JR32" s="13" t="n"/>
      <c r="JS32" s="21" t="n"/>
      <c r="JT32" s="14">
        <f>SUM(JH32:JS32)</f>
        <v/>
      </c>
      <c r="JU32" s="15">
        <f>JT32/JT$46%</f>
        <v/>
      </c>
      <c r="JV32" s="21" t="n"/>
      <c r="JW32" s="21" t="n"/>
      <c r="JX32" s="13" t="n"/>
      <c r="JY32" s="21" t="n"/>
      <c r="JZ32" s="21" t="n"/>
      <c r="KA32" s="21" t="n"/>
      <c r="KB32" s="21" t="n"/>
      <c r="KC32" s="21" t="n"/>
      <c r="KD32" s="21" t="n"/>
      <c r="KE32" s="21" t="n"/>
      <c r="KF32" s="13" t="n"/>
      <c r="KG32" s="21" t="n"/>
      <c r="KH32" s="14">
        <f>SUM(JV32:KG32)</f>
        <v/>
      </c>
      <c r="KI32" s="15">
        <f>KH32/KH$46%</f>
        <v/>
      </c>
      <c r="KJ32" s="21" t="n"/>
      <c r="KK32" s="21" t="n"/>
      <c r="KL32" s="13" t="n"/>
      <c r="KM32" s="21" t="n"/>
      <c r="KN32" s="21" t="n"/>
      <c r="KO32" s="21" t="n"/>
      <c r="KP32" s="21" t="n"/>
      <c r="KQ32" s="21" t="n"/>
      <c r="KR32" s="21" t="n"/>
      <c r="KS32" s="21" t="n"/>
      <c r="KT32" s="13" t="n"/>
      <c r="KU32" s="21" t="n"/>
      <c r="KV32" s="14">
        <f>SUM(KJ32:KU32)</f>
        <v/>
      </c>
      <c r="KW32" s="15">
        <f>KV32/KV$46%</f>
        <v/>
      </c>
      <c r="KX32" s="78">
        <f>N32+AB32+AP32+BD32+BR32+CF32+CT32+DH32+DV32+EJ32+EX32+FZ32+GN32+HB32+HP32+ID32+IR32+JF32+KH32+KV32+JT32</f>
        <v/>
      </c>
      <c r="KY32" s="78">
        <f>KX32/KX$46%</f>
        <v/>
      </c>
    </row>
    <row r="33" ht="14.25" customFormat="1" customHeight="1" s="10">
      <c r="A33" s="17" t="inlineStr">
        <is>
          <t>6.1 โรงงานติดปัญหาด้านแรงงานในการผลิต</t>
        </is>
      </c>
      <c r="B33" s="60" t="n"/>
      <c r="C33" s="60" t="n"/>
      <c r="D33" s="7" t="n"/>
      <c r="E33" s="60" t="n"/>
      <c r="F33" s="60" t="n"/>
      <c r="G33" s="60" t="n"/>
      <c r="H33" s="60" t="n"/>
      <c r="I33" s="60" t="n"/>
      <c r="J33" s="60" t="n"/>
      <c r="K33" s="60" t="n"/>
      <c r="L33" s="7" t="n"/>
      <c r="M33" s="60" t="n"/>
      <c r="N33" s="18">
        <f>SUM(B33:M33)</f>
        <v/>
      </c>
      <c r="O33" s="59" t="n"/>
      <c r="P33" s="60" t="n"/>
      <c r="Q33" s="60" t="n"/>
      <c r="R33" s="7" t="n"/>
      <c r="S33" s="60" t="n"/>
      <c r="T33" s="60" t="n"/>
      <c r="U33" s="60" t="n"/>
      <c r="V33" s="60" t="n"/>
      <c r="W33" s="60" t="n"/>
      <c r="X33" s="60" t="n"/>
      <c r="Y33" s="60" t="n"/>
      <c r="Z33" s="7" t="n"/>
      <c r="AA33" s="60" t="n"/>
      <c r="AB33" s="18">
        <f>SUM(P33:AA33)</f>
        <v/>
      </c>
      <c r="AC33" s="59" t="n"/>
      <c r="AD33" s="60" t="n"/>
      <c r="AE33" s="60" t="n"/>
      <c r="AF33" s="7" t="n"/>
      <c r="AG33" s="60" t="n"/>
      <c r="AH33" s="60" t="n"/>
      <c r="AI33" s="60" t="n"/>
      <c r="AJ33" s="60" t="n"/>
      <c r="AK33" s="60" t="n"/>
      <c r="AL33" s="60" t="n"/>
      <c r="AM33" s="60" t="n"/>
      <c r="AN33" s="7" t="n"/>
      <c r="AO33" s="60" t="n"/>
      <c r="AP33" s="18">
        <f>SUM(AD33:AO33)</f>
        <v/>
      </c>
      <c r="AQ33" s="59" t="n"/>
      <c r="AR33" s="60" t="n"/>
      <c r="AS33" s="60" t="n"/>
      <c r="AT33" s="7" t="n"/>
      <c r="AU33" s="60" t="n"/>
      <c r="AV33" s="60" t="n"/>
      <c r="AW33" s="60" t="n"/>
      <c r="AX33" s="60" t="n"/>
      <c r="AY33" s="60" t="n"/>
      <c r="AZ33" s="60" t="n"/>
      <c r="BA33" s="60" t="n"/>
      <c r="BB33" s="7" t="n"/>
      <c r="BC33" s="60" t="n"/>
      <c r="BD33" s="18">
        <f>SUM(AR33:BC33)</f>
        <v/>
      </c>
      <c r="BE33" s="59" t="n"/>
      <c r="BF33" s="60" t="n"/>
      <c r="BG33" s="60" t="n"/>
      <c r="BH33" s="7" t="n"/>
      <c r="BI33" s="60" t="n"/>
      <c r="BJ33" s="60" t="n"/>
      <c r="BK33" s="60" t="n"/>
      <c r="BL33" s="60" t="n"/>
      <c r="BM33" s="60" t="n"/>
      <c r="BN33" s="60" t="n"/>
      <c r="BO33" s="60" t="n"/>
      <c r="BP33" s="7" t="n"/>
      <c r="BQ33" s="60" t="n"/>
      <c r="BR33" s="18">
        <f>SUM(BF33:BQ33)</f>
        <v/>
      </c>
      <c r="BS33" s="59" t="n"/>
      <c r="BT33" s="60" t="n"/>
      <c r="BU33" s="60" t="n"/>
      <c r="BV33" s="7" t="n"/>
      <c r="BW33" s="60" t="n"/>
      <c r="BX33" s="60" t="n"/>
      <c r="BY33" s="60" t="n"/>
      <c r="BZ33" s="60" t="n"/>
      <c r="CA33" s="60" t="n"/>
      <c r="CB33" s="60" t="n"/>
      <c r="CC33" s="60" t="n"/>
      <c r="CD33" s="7" t="n"/>
      <c r="CE33" s="60" t="n"/>
      <c r="CF33" s="18">
        <f>SUM(BT33:CE33)</f>
        <v/>
      </c>
      <c r="CG33" s="59" t="n"/>
      <c r="CH33" s="60" t="n"/>
      <c r="CI33" s="60" t="n"/>
      <c r="CJ33" s="7" t="n"/>
      <c r="CK33" s="60" t="n"/>
      <c r="CL33" s="60" t="n"/>
      <c r="CM33" s="60" t="n"/>
      <c r="CN33" s="60" t="n"/>
      <c r="CO33" s="60" t="n"/>
      <c r="CP33" s="60" t="n"/>
      <c r="CQ33" s="60" t="n"/>
      <c r="CR33" s="7" t="n"/>
      <c r="CS33" s="60" t="n"/>
      <c r="CT33" s="18">
        <f>SUM(CH33:CS33)</f>
        <v/>
      </c>
      <c r="CU33" s="59" t="n"/>
      <c r="CV33" s="60" t="n"/>
      <c r="CW33" s="60" t="n"/>
      <c r="CX33" s="7" t="n"/>
      <c r="CY33" s="60" t="n"/>
      <c r="CZ33" s="60" t="n"/>
      <c r="DA33" s="60" t="n"/>
      <c r="DB33" s="60" t="n"/>
      <c r="DC33" s="60" t="n"/>
      <c r="DD33" s="60" t="n"/>
      <c r="DE33" s="60" t="n"/>
      <c r="DF33" s="7" t="n"/>
      <c r="DG33" s="60" t="n"/>
      <c r="DH33" s="18">
        <f>SUM(CV33:DG33)</f>
        <v/>
      </c>
      <c r="DI33" s="59" t="n"/>
      <c r="DJ33" s="60" t="n"/>
      <c r="DK33" s="60" t="n"/>
      <c r="DL33" s="7" t="n"/>
      <c r="DM33" s="60" t="n"/>
      <c r="DN33" s="60" t="n"/>
      <c r="DO33" s="60" t="n"/>
      <c r="DP33" s="60" t="n"/>
      <c r="DQ33" s="60" t="n"/>
      <c r="DR33" s="60" t="n"/>
      <c r="DS33" s="60" t="n"/>
      <c r="DT33" s="7" t="n"/>
      <c r="DU33" s="60" t="n"/>
      <c r="DV33" s="18">
        <f>SUM(DJ33:DU33)</f>
        <v/>
      </c>
      <c r="DW33" s="59" t="n"/>
      <c r="DX33" s="60" t="n"/>
      <c r="DY33" s="60" t="n"/>
      <c r="DZ33" s="7" t="n"/>
      <c r="EA33" s="60" t="n"/>
      <c r="EB33" s="60" t="n"/>
      <c r="EC33" s="60" t="n"/>
      <c r="ED33" s="60" t="n"/>
      <c r="EE33" s="60" t="n"/>
      <c r="EF33" s="60" t="n"/>
      <c r="EG33" s="60" t="n"/>
      <c r="EH33" s="7" t="n"/>
      <c r="EI33" s="60" t="n"/>
      <c r="EJ33" s="18">
        <f>SUM(DX33:EI33)</f>
        <v/>
      </c>
      <c r="EK33" s="59" t="n"/>
      <c r="EL33" s="60" t="n"/>
      <c r="EM33" s="60" t="n"/>
      <c r="EN33" s="7" t="n"/>
      <c r="EO33" s="60" t="n"/>
      <c r="EP33" s="60" t="n"/>
      <c r="EQ33" s="60" t="n"/>
      <c r="ER33" s="60" t="n"/>
      <c r="ES33" s="60" t="n"/>
      <c r="ET33" s="60" t="n"/>
      <c r="EU33" s="60" t="n"/>
      <c r="EV33" s="7" t="n"/>
      <c r="EW33" s="60" t="n"/>
      <c r="EX33" s="18">
        <f>SUM(EL33:EW33)</f>
        <v/>
      </c>
      <c r="EY33" s="59" t="n"/>
      <c r="EZ33" s="60" t="n"/>
      <c r="FA33" s="60" t="n"/>
      <c r="FB33" s="7" t="n"/>
      <c r="FC33" s="60" t="n"/>
      <c r="FD33" s="60" t="n"/>
      <c r="FE33" s="60" t="n"/>
      <c r="FF33" s="60" t="n"/>
      <c r="FG33" s="60" t="n"/>
      <c r="FH33" s="60" t="n"/>
      <c r="FI33" s="60" t="n"/>
      <c r="FJ33" s="7" t="n"/>
      <c r="FK33" s="60" t="n"/>
      <c r="FL33" s="18">
        <f>SUM(EZ33:FK33)</f>
        <v/>
      </c>
      <c r="FM33" s="59" t="n"/>
      <c r="FN33" s="60" t="n"/>
      <c r="FO33" s="60" t="n"/>
      <c r="FP33" s="7" t="n"/>
      <c r="FQ33" s="60" t="n"/>
      <c r="FR33" s="60" t="n"/>
      <c r="FS33" s="60" t="n"/>
      <c r="FT33" s="60" t="n"/>
      <c r="FU33" s="60" t="n"/>
      <c r="FV33" s="60" t="n"/>
      <c r="FW33" s="60" t="n"/>
      <c r="FX33" s="7" t="n"/>
      <c r="FY33" s="60" t="n"/>
      <c r="FZ33" s="18">
        <f>SUM(FN33:FY33)</f>
        <v/>
      </c>
      <c r="GA33" s="59" t="n"/>
      <c r="GB33" s="60" t="n"/>
      <c r="GC33" s="60" t="n"/>
      <c r="GD33" s="7" t="n"/>
      <c r="GE33" s="60" t="n"/>
      <c r="GF33" s="60" t="n"/>
      <c r="GG33" s="60" t="n"/>
      <c r="GH33" s="60" t="n"/>
      <c r="GI33" s="60" t="n"/>
      <c r="GJ33" s="60" t="n"/>
      <c r="GK33" s="60" t="n"/>
      <c r="GL33" s="7" t="n"/>
      <c r="GM33" s="60" t="n"/>
      <c r="GN33" s="18">
        <f>SUM(GB33:GM33)</f>
        <v/>
      </c>
      <c r="GO33" s="59" t="n"/>
      <c r="GP33" s="60" t="n"/>
      <c r="GQ33" s="60" t="n"/>
      <c r="GR33" s="7" t="n"/>
      <c r="GS33" s="60" t="n"/>
      <c r="GT33" s="60" t="n"/>
      <c r="GU33" s="60" t="n"/>
      <c r="GV33" s="60" t="n"/>
      <c r="GW33" s="60" t="n"/>
      <c r="GX33" s="60" t="n"/>
      <c r="GY33" s="60" t="n"/>
      <c r="GZ33" s="7" t="n"/>
      <c r="HA33" s="60" t="n"/>
      <c r="HB33" s="18">
        <f>SUM(GP33:HA33)</f>
        <v/>
      </c>
      <c r="HC33" s="59" t="n"/>
      <c r="HD33" s="60" t="n"/>
      <c r="HE33" s="60" t="n"/>
      <c r="HF33" s="7" t="n"/>
      <c r="HG33" s="60" t="n"/>
      <c r="HH33" s="60" t="n"/>
      <c r="HI33" s="60" t="n"/>
      <c r="HJ33" s="60" t="n"/>
      <c r="HK33" s="60" t="n"/>
      <c r="HL33" s="60" t="n"/>
      <c r="HM33" s="60" t="n"/>
      <c r="HN33" s="7" t="n"/>
      <c r="HO33" s="60" t="n"/>
      <c r="HP33" s="18">
        <f>SUM(HD33:HO33)</f>
        <v/>
      </c>
      <c r="HQ33" s="59" t="n"/>
      <c r="HR33" s="60" t="n"/>
      <c r="HS33" s="60" t="n"/>
      <c r="HT33" s="7" t="n"/>
      <c r="HU33" s="60" t="n"/>
      <c r="HV33" s="60" t="n"/>
      <c r="HW33" s="60" t="n"/>
      <c r="HX33" s="60" t="n"/>
      <c r="HY33" s="60" t="n"/>
      <c r="HZ33" s="60" t="n"/>
      <c r="IA33" s="60" t="n"/>
      <c r="IB33" s="7" t="n"/>
      <c r="IC33" s="60" t="n"/>
      <c r="ID33" s="18">
        <f>SUM(HR33:IC33)</f>
        <v/>
      </c>
      <c r="IE33" s="59" t="n"/>
      <c r="IF33" s="60" t="n"/>
      <c r="IG33" s="60" t="n"/>
      <c r="IH33" s="7" t="n"/>
      <c r="II33" s="60" t="n"/>
      <c r="IJ33" s="60" t="n"/>
      <c r="IK33" s="60" t="n"/>
      <c r="IL33" s="60" t="n"/>
      <c r="IM33" s="60" t="n"/>
      <c r="IN33" s="60" t="n"/>
      <c r="IO33" s="60" t="n"/>
      <c r="IP33" s="7" t="n"/>
      <c r="IQ33" s="60" t="n"/>
      <c r="IR33" s="18">
        <f>SUM(IF33:IQ33)</f>
        <v/>
      </c>
      <c r="IS33" s="59" t="n"/>
      <c r="IT33" s="60" t="n"/>
      <c r="IU33" s="60" t="n"/>
      <c r="IV33" s="7" t="n"/>
      <c r="IW33" s="60" t="n"/>
      <c r="IX33" s="60" t="n"/>
      <c r="IY33" s="60" t="n"/>
      <c r="IZ33" s="60" t="n"/>
      <c r="JA33" s="60" t="n"/>
      <c r="JB33" s="60" t="n"/>
      <c r="JC33" s="60" t="n"/>
      <c r="JD33" s="7" t="n"/>
      <c r="JE33" s="60" t="n"/>
      <c r="JF33" s="18">
        <f>SUM(IT33:JE33)</f>
        <v/>
      </c>
      <c r="JG33" s="59" t="n"/>
      <c r="JH33" s="60" t="n"/>
      <c r="JI33" s="60" t="n"/>
      <c r="JJ33" s="7" t="n"/>
      <c r="JK33" s="60" t="n"/>
      <c r="JL33" s="60" t="n"/>
      <c r="JM33" s="60" t="n"/>
      <c r="JN33" s="60" t="n"/>
      <c r="JO33" s="60" t="n"/>
      <c r="JP33" s="60" t="n"/>
      <c r="JQ33" s="60" t="n"/>
      <c r="JR33" s="7" t="n"/>
      <c r="JS33" s="60" t="n"/>
      <c r="JT33" s="18">
        <f>SUM(JH33:JS33)</f>
        <v/>
      </c>
      <c r="JU33" s="59" t="n"/>
      <c r="JV33" s="60" t="n"/>
      <c r="JW33" s="60" t="n"/>
      <c r="JX33" s="7" t="n"/>
      <c r="JY33" s="60" t="n"/>
      <c r="JZ33" s="60" t="n"/>
      <c r="KA33" s="60" t="n"/>
      <c r="KB33" s="60" t="n"/>
      <c r="KC33" s="60" t="n"/>
      <c r="KD33" s="60" t="n"/>
      <c r="KE33" s="60" t="n"/>
      <c r="KF33" s="7" t="n"/>
      <c r="KG33" s="60" t="n"/>
      <c r="KH33" s="18">
        <f>SUM(JV33:KG33)</f>
        <v/>
      </c>
      <c r="KI33" s="59" t="n"/>
      <c r="KJ33" s="60" t="n"/>
      <c r="KK33" s="60" t="n"/>
      <c r="KL33" s="7" t="n"/>
      <c r="KM33" s="60" t="n"/>
      <c r="KN33" s="60" t="n"/>
      <c r="KO33" s="60" t="n"/>
      <c r="KP33" s="60" t="n"/>
      <c r="KQ33" s="60" t="n"/>
      <c r="KR33" s="60" t="n"/>
      <c r="KS33" s="60" t="n"/>
      <c r="KT33" s="7" t="n"/>
      <c r="KU33" s="60" t="n"/>
      <c r="KV33" s="18">
        <f>SUM(KJ33:KU33)</f>
        <v/>
      </c>
      <c r="KW33" s="59" t="n"/>
      <c r="KX33" s="81" t="n"/>
      <c r="KY33" s="76" t="n"/>
    </row>
    <row r="34" ht="14.25" customFormat="1" customHeight="1" s="10">
      <c r="A34" s="17" t="inlineStr">
        <is>
          <t>6.2 โรงงานติดปัญหาด้านกระบวนการผลิตซับซ้อน</t>
        </is>
      </c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18">
        <f>SUM(B34:M34)</f>
        <v/>
      </c>
      <c r="O34" s="59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18">
        <f>SUM(P34:AA34)</f>
        <v/>
      </c>
      <c r="AC34" s="59" t="n"/>
      <c r="AD34" s="60" t="n"/>
      <c r="AE34" s="60" t="n"/>
      <c r="AF34" s="60" t="n"/>
      <c r="AG34" s="60" t="n"/>
      <c r="AH34" s="60" t="n"/>
      <c r="AI34" s="60" t="n"/>
      <c r="AJ34" s="60" t="n"/>
      <c r="AK34" s="60" t="n"/>
      <c r="AL34" s="60" t="n"/>
      <c r="AM34" s="60" t="n"/>
      <c r="AN34" s="60" t="n"/>
      <c r="AO34" s="60" t="n"/>
      <c r="AP34" s="18">
        <f>SUM(AD34:AO34)</f>
        <v/>
      </c>
      <c r="AQ34" s="59" t="n"/>
      <c r="AR34" s="60" t="n"/>
      <c r="AS34" s="60" t="n"/>
      <c r="AT34" s="60" t="n"/>
      <c r="AU34" s="60" t="n"/>
      <c r="AV34" s="60" t="n"/>
      <c r="AW34" s="60" t="n"/>
      <c r="AX34" s="60" t="n"/>
      <c r="AY34" s="60" t="n"/>
      <c r="AZ34" s="60" t="n"/>
      <c r="BA34" s="60" t="n"/>
      <c r="BB34" s="60" t="n"/>
      <c r="BC34" s="60" t="n"/>
      <c r="BD34" s="18">
        <f>SUM(AR34:BC34)</f>
        <v/>
      </c>
      <c r="BE34" s="59" t="n"/>
      <c r="BF34" s="60" t="n"/>
      <c r="BG34" s="60" t="n"/>
      <c r="BH34" s="60" t="n"/>
      <c r="BI34" s="60" t="n"/>
      <c r="BJ34" s="60" t="n"/>
      <c r="BK34" s="60" t="n"/>
      <c r="BL34" s="60" t="n"/>
      <c r="BM34" s="60" t="n"/>
      <c r="BN34" s="60" t="n"/>
      <c r="BO34" s="60" t="n"/>
      <c r="BP34" s="60" t="n"/>
      <c r="BQ34" s="60" t="n"/>
      <c r="BR34" s="18">
        <f>SUM(BF34:BQ34)</f>
        <v/>
      </c>
      <c r="BS34" s="59" t="n"/>
      <c r="BT34" s="60" t="n"/>
      <c r="BU34" s="60" t="n"/>
      <c r="BV34" s="60" t="n"/>
      <c r="BW34" s="60" t="n"/>
      <c r="BX34" s="60" t="n"/>
      <c r="BY34" s="60" t="n"/>
      <c r="BZ34" s="60" t="n"/>
      <c r="CA34" s="60" t="n"/>
      <c r="CB34" s="60" t="n"/>
      <c r="CC34" s="60" t="n"/>
      <c r="CD34" s="60" t="n"/>
      <c r="CE34" s="60" t="n"/>
      <c r="CF34" s="18">
        <f>SUM(BT34:CE34)</f>
        <v/>
      </c>
      <c r="CG34" s="59" t="n"/>
      <c r="CH34" s="60" t="n"/>
      <c r="CI34" s="60" t="n"/>
      <c r="CJ34" s="60" t="n"/>
      <c r="CK34" s="60" t="n"/>
      <c r="CL34" s="60" t="n"/>
      <c r="CM34" s="60" t="n"/>
      <c r="CN34" s="60" t="n"/>
      <c r="CO34" s="60" t="n"/>
      <c r="CP34" s="60" t="n"/>
      <c r="CQ34" s="60" t="n"/>
      <c r="CR34" s="60" t="n"/>
      <c r="CS34" s="60" t="n"/>
      <c r="CT34" s="18">
        <f>SUM(CH34:CS34)</f>
        <v/>
      </c>
      <c r="CU34" s="59" t="n"/>
      <c r="CV34" s="60" t="n"/>
      <c r="CW34" s="60" t="n"/>
      <c r="CX34" s="60" t="n"/>
      <c r="CY34" s="60" t="n"/>
      <c r="CZ34" s="60" t="n"/>
      <c r="DA34" s="60" t="n"/>
      <c r="DB34" s="60" t="n"/>
      <c r="DC34" s="60" t="n"/>
      <c r="DD34" s="60" t="n"/>
      <c r="DE34" s="60" t="n"/>
      <c r="DF34" s="60" t="n"/>
      <c r="DG34" s="60" t="n"/>
      <c r="DH34" s="18">
        <f>SUM(CV34:DG34)</f>
        <v/>
      </c>
      <c r="DI34" s="59" t="n"/>
      <c r="DJ34" s="60" t="n"/>
      <c r="DK34" s="60" t="n"/>
      <c r="DL34" s="60" t="n"/>
      <c r="DM34" s="60" t="n"/>
      <c r="DN34" s="60" t="n"/>
      <c r="DO34" s="60" t="n"/>
      <c r="DP34" s="60" t="n"/>
      <c r="DQ34" s="60" t="n"/>
      <c r="DR34" s="60" t="n"/>
      <c r="DS34" s="60" t="n"/>
      <c r="DT34" s="60" t="n"/>
      <c r="DU34" s="60" t="n"/>
      <c r="DV34" s="18">
        <f>SUM(DJ34:DU34)</f>
        <v/>
      </c>
      <c r="DW34" s="59" t="n"/>
      <c r="DX34" s="60" t="n"/>
      <c r="DY34" s="60" t="n"/>
      <c r="DZ34" s="60" t="n"/>
      <c r="EA34" s="60" t="n"/>
      <c r="EB34" s="60" t="n"/>
      <c r="EC34" s="60" t="n"/>
      <c r="ED34" s="60" t="n"/>
      <c r="EE34" s="60" t="n"/>
      <c r="EF34" s="60" t="n"/>
      <c r="EG34" s="60" t="n"/>
      <c r="EH34" s="60" t="n"/>
      <c r="EI34" s="60" t="n"/>
      <c r="EJ34" s="18">
        <f>SUM(DX34:EI34)</f>
        <v/>
      </c>
      <c r="EK34" s="59" t="n"/>
      <c r="EL34" s="60" t="n"/>
      <c r="EM34" s="60" t="n"/>
      <c r="EN34" s="60" t="n"/>
      <c r="EO34" s="60" t="n"/>
      <c r="EP34" s="60" t="n"/>
      <c r="EQ34" s="60" t="n"/>
      <c r="ER34" s="60" t="n"/>
      <c r="ES34" s="60" t="n"/>
      <c r="ET34" s="60" t="n"/>
      <c r="EU34" s="60" t="n"/>
      <c r="EV34" s="60" t="n"/>
      <c r="EW34" s="60" t="n"/>
      <c r="EX34" s="18">
        <f>SUM(EL34:EW34)</f>
        <v/>
      </c>
      <c r="EY34" s="59" t="n"/>
      <c r="EZ34" s="60" t="n"/>
      <c r="FA34" s="60" t="n"/>
      <c r="FB34" s="60" t="n"/>
      <c r="FC34" s="60" t="n"/>
      <c r="FD34" s="60" t="n"/>
      <c r="FE34" s="60" t="n"/>
      <c r="FF34" s="60" t="n"/>
      <c r="FG34" s="60" t="n"/>
      <c r="FH34" s="60" t="n"/>
      <c r="FI34" s="60" t="n"/>
      <c r="FJ34" s="60" t="n"/>
      <c r="FK34" s="60" t="n"/>
      <c r="FL34" s="18">
        <f>SUM(EZ34:FK34)</f>
        <v/>
      </c>
      <c r="FM34" s="59" t="n"/>
      <c r="FN34" s="60" t="n"/>
      <c r="FO34" s="60" t="n"/>
      <c r="FP34" s="60" t="n"/>
      <c r="FQ34" s="60" t="n"/>
      <c r="FR34" s="60" t="n"/>
      <c r="FS34" s="60" t="n"/>
      <c r="FT34" s="60" t="n"/>
      <c r="FU34" s="60" t="n"/>
      <c r="FV34" s="60" t="n"/>
      <c r="FW34" s="60" t="n"/>
      <c r="FX34" s="60" t="n"/>
      <c r="FY34" s="60" t="n"/>
      <c r="FZ34" s="18">
        <f>SUM(FN34:FY34)</f>
        <v/>
      </c>
      <c r="GA34" s="59" t="n"/>
      <c r="GB34" s="60" t="n"/>
      <c r="GC34" s="60" t="n"/>
      <c r="GD34" s="60" t="n"/>
      <c r="GE34" s="60" t="n"/>
      <c r="GF34" s="60" t="n"/>
      <c r="GG34" s="60" t="n"/>
      <c r="GH34" s="60" t="n"/>
      <c r="GI34" s="60" t="n"/>
      <c r="GJ34" s="60" t="n"/>
      <c r="GK34" s="60" t="n"/>
      <c r="GL34" s="60" t="n"/>
      <c r="GM34" s="60" t="n"/>
      <c r="GN34" s="18">
        <f>SUM(GB34:GM34)</f>
        <v/>
      </c>
      <c r="GO34" s="59" t="n"/>
      <c r="GP34" s="60" t="n"/>
      <c r="GQ34" s="60" t="n"/>
      <c r="GR34" s="60" t="n"/>
      <c r="GS34" s="60" t="n"/>
      <c r="GT34" s="60" t="n"/>
      <c r="GU34" s="60" t="n"/>
      <c r="GV34" s="60" t="n"/>
      <c r="GW34" s="60" t="n"/>
      <c r="GX34" s="60" t="n"/>
      <c r="GY34" s="60" t="n"/>
      <c r="GZ34" s="60" t="n"/>
      <c r="HA34" s="60" t="n"/>
      <c r="HB34" s="18">
        <f>SUM(GP34:HA34)</f>
        <v/>
      </c>
      <c r="HC34" s="59" t="n"/>
      <c r="HD34" s="60" t="n"/>
      <c r="HE34" s="60" t="n"/>
      <c r="HF34" s="60" t="n"/>
      <c r="HG34" s="60" t="n"/>
      <c r="HH34" s="60" t="n"/>
      <c r="HI34" s="60" t="n"/>
      <c r="HJ34" s="60" t="n"/>
      <c r="HK34" s="60" t="n"/>
      <c r="HL34" s="60" t="n"/>
      <c r="HM34" s="60" t="n"/>
      <c r="HN34" s="60" t="n"/>
      <c r="HO34" s="60" t="n"/>
      <c r="HP34" s="18">
        <f>SUM(HD34:HO34)</f>
        <v/>
      </c>
      <c r="HQ34" s="59" t="n"/>
      <c r="HR34" s="60" t="n"/>
      <c r="HS34" s="60" t="n"/>
      <c r="HT34" s="60" t="n"/>
      <c r="HU34" s="60" t="n"/>
      <c r="HV34" s="60" t="n"/>
      <c r="HW34" s="60" t="n"/>
      <c r="HX34" s="60" t="n"/>
      <c r="HY34" s="60" t="n"/>
      <c r="HZ34" s="60" t="n"/>
      <c r="IA34" s="60" t="n"/>
      <c r="IB34" s="60" t="n"/>
      <c r="IC34" s="60" t="n"/>
      <c r="ID34" s="18">
        <f>SUM(HR34:IC34)</f>
        <v/>
      </c>
      <c r="IE34" s="59" t="n"/>
      <c r="IF34" s="60" t="n"/>
      <c r="IG34" s="60" t="n"/>
      <c r="IH34" s="60" t="n"/>
      <c r="II34" s="60" t="n"/>
      <c r="IJ34" s="60" t="n"/>
      <c r="IK34" s="60" t="n"/>
      <c r="IL34" s="60" t="n"/>
      <c r="IM34" s="60" t="n"/>
      <c r="IN34" s="60" t="n"/>
      <c r="IO34" s="60" t="n"/>
      <c r="IP34" s="60" t="n"/>
      <c r="IQ34" s="60" t="n"/>
      <c r="IR34" s="18">
        <f>SUM(IF34:IQ34)</f>
        <v/>
      </c>
      <c r="IS34" s="59" t="n"/>
      <c r="IT34" s="60" t="n"/>
      <c r="IU34" s="60" t="n"/>
      <c r="IV34" s="60" t="n"/>
      <c r="IW34" s="60" t="n"/>
      <c r="IX34" s="60" t="n"/>
      <c r="IY34" s="60" t="n"/>
      <c r="IZ34" s="60" t="n"/>
      <c r="JA34" s="60" t="n"/>
      <c r="JB34" s="60" t="n"/>
      <c r="JC34" s="60" t="n"/>
      <c r="JD34" s="60" t="n"/>
      <c r="JE34" s="60" t="n"/>
      <c r="JF34" s="18">
        <f>SUM(IT34:JE34)</f>
        <v/>
      </c>
      <c r="JG34" s="59" t="n"/>
      <c r="JH34" s="60" t="n"/>
      <c r="JI34" s="60" t="n"/>
      <c r="JJ34" s="60" t="n"/>
      <c r="JK34" s="60" t="n"/>
      <c r="JL34" s="60" t="n"/>
      <c r="JM34" s="60" t="n"/>
      <c r="JN34" s="60" t="n"/>
      <c r="JO34" s="60" t="n"/>
      <c r="JP34" s="60" t="n"/>
      <c r="JQ34" s="60" t="n"/>
      <c r="JR34" s="60" t="n"/>
      <c r="JS34" s="60" t="n"/>
      <c r="JT34" s="18">
        <f>SUM(JH34:JS34)</f>
        <v/>
      </c>
      <c r="JU34" s="59" t="n"/>
      <c r="JV34" s="60" t="n"/>
      <c r="JW34" s="60" t="n"/>
      <c r="JX34" s="60" t="n"/>
      <c r="JY34" s="60" t="n"/>
      <c r="JZ34" s="60" t="n"/>
      <c r="KA34" s="60" t="n"/>
      <c r="KB34" s="60" t="n"/>
      <c r="KC34" s="60" t="n"/>
      <c r="KD34" s="60" t="n"/>
      <c r="KE34" s="60" t="n"/>
      <c r="KF34" s="60" t="n"/>
      <c r="KG34" s="60" t="n"/>
      <c r="KH34" s="18">
        <f>SUM(JV34:KG34)</f>
        <v/>
      </c>
      <c r="KI34" s="59" t="n"/>
      <c r="KJ34" s="60" t="n"/>
      <c r="KK34" s="60" t="n"/>
      <c r="KL34" s="60" t="n"/>
      <c r="KM34" s="60" t="n"/>
      <c r="KN34" s="60" t="n"/>
      <c r="KO34" s="60" t="n"/>
      <c r="KP34" s="60" t="n"/>
      <c r="KQ34" s="60" t="n"/>
      <c r="KR34" s="60" t="n"/>
      <c r="KS34" s="60" t="n"/>
      <c r="KT34" s="60" t="n"/>
      <c r="KU34" s="60" t="n"/>
      <c r="KV34" s="18">
        <f>SUM(KJ34:KU34)</f>
        <v/>
      </c>
      <c r="KW34" s="59" t="n"/>
      <c r="KX34" s="81" t="n"/>
      <c r="KY34" s="76" t="n"/>
    </row>
    <row r="35" ht="14.25" customFormat="1" customHeight="1" s="10">
      <c r="A35" s="17" t="inlineStr">
        <is>
          <t>6.3 โรงงานติดปัญหาด้าน Capacity เครื่องจักร</t>
        </is>
      </c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18">
        <f>SUM(B35:M35)</f>
        <v/>
      </c>
      <c r="O35" s="59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  <c r="AA35" s="60" t="n"/>
      <c r="AB35" s="18">
        <f>SUM(P35:AA35)</f>
        <v/>
      </c>
      <c r="AC35" s="59" t="n"/>
      <c r="AD35" s="60" t="n"/>
      <c r="AE35" s="60" t="n"/>
      <c r="AF35" s="60" t="n"/>
      <c r="AG35" s="60" t="n"/>
      <c r="AH35" s="60" t="n"/>
      <c r="AI35" s="60" t="n"/>
      <c r="AJ35" s="60" t="n"/>
      <c r="AK35" s="60" t="n"/>
      <c r="AL35" s="60" t="n"/>
      <c r="AM35" s="60" t="n"/>
      <c r="AN35" s="60" t="n"/>
      <c r="AO35" s="60" t="n"/>
      <c r="AP35" s="18">
        <f>SUM(AD35:AO35)</f>
        <v/>
      </c>
      <c r="AQ35" s="59" t="n"/>
      <c r="AR35" s="60" t="n"/>
      <c r="AS35" s="60" t="n"/>
      <c r="AT35" s="60" t="n"/>
      <c r="AU35" s="60" t="n"/>
      <c r="AV35" s="60" t="n"/>
      <c r="AW35" s="60" t="n"/>
      <c r="AX35" s="60" t="n"/>
      <c r="AY35" s="60" t="n"/>
      <c r="AZ35" s="60" t="n"/>
      <c r="BA35" s="60" t="n"/>
      <c r="BB35" s="60" t="n"/>
      <c r="BC35" s="60" t="n"/>
      <c r="BD35" s="18">
        <f>SUM(AR35:BC35)</f>
        <v/>
      </c>
      <c r="BE35" s="59" t="n"/>
      <c r="BF35" s="60" t="n"/>
      <c r="BG35" s="60" t="n"/>
      <c r="BH35" s="60" t="n"/>
      <c r="BI35" s="60" t="n"/>
      <c r="BJ35" s="60" t="n"/>
      <c r="BK35" s="60" t="n"/>
      <c r="BL35" s="60" t="n"/>
      <c r="BM35" s="60" t="n"/>
      <c r="BN35" s="60" t="n"/>
      <c r="BO35" s="60" t="n"/>
      <c r="BP35" s="60" t="n"/>
      <c r="BQ35" s="60" t="n"/>
      <c r="BR35" s="18">
        <f>SUM(BF35:BQ35)</f>
        <v/>
      </c>
      <c r="BS35" s="59" t="n"/>
      <c r="BT35" s="60" t="n"/>
      <c r="BU35" s="60" t="n"/>
      <c r="BV35" s="60" t="n"/>
      <c r="BW35" s="60" t="n"/>
      <c r="BX35" s="60" t="n"/>
      <c r="BY35" s="60" t="n"/>
      <c r="BZ35" s="60" t="n"/>
      <c r="CA35" s="60" t="n"/>
      <c r="CB35" s="60" t="n"/>
      <c r="CC35" s="60" t="n"/>
      <c r="CD35" s="60" t="n"/>
      <c r="CE35" s="60" t="n"/>
      <c r="CF35" s="18">
        <f>SUM(BT35:CE35)</f>
        <v/>
      </c>
      <c r="CG35" s="59" t="n"/>
      <c r="CH35" s="60" t="n"/>
      <c r="CI35" s="60" t="n"/>
      <c r="CJ35" s="60" t="n"/>
      <c r="CK35" s="60" t="n"/>
      <c r="CL35" s="60" t="n"/>
      <c r="CM35" s="60" t="n"/>
      <c r="CN35" s="60" t="n"/>
      <c r="CO35" s="60" t="n"/>
      <c r="CP35" s="60" t="n"/>
      <c r="CQ35" s="60" t="n"/>
      <c r="CR35" s="60" t="n"/>
      <c r="CS35" s="60" t="n"/>
      <c r="CT35" s="18">
        <f>SUM(CH35:CS35)</f>
        <v/>
      </c>
      <c r="CU35" s="59" t="n"/>
      <c r="CV35" s="60" t="n"/>
      <c r="CW35" s="60" t="n"/>
      <c r="CX35" s="60" t="n"/>
      <c r="CY35" s="60" t="n"/>
      <c r="CZ35" s="60" t="n"/>
      <c r="DA35" s="60" t="n"/>
      <c r="DB35" s="60" t="n"/>
      <c r="DC35" s="60" t="n"/>
      <c r="DD35" s="60" t="n"/>
      <c r="DE35" s="60" t="n"/>
      <c r="DF35" s="60" t="n"/>
      <c r="DG35" s="60" t="n"/>
      <c r="DH35" s="18">
        <f>SUM(CV35:DG35)</f>
        <v/>
      </c>
      <c r="DI35" s="59" t="n"/>
      <c r="DJ35" s="60" t="n"/>
      <c r="DK35" s="60" t="n"/>
      <c r="DL35" s="60" t="n"/>
      <c r="DM35" s="60" t="n"/>
      <c r="DN35" s="60" t="n"/>
      <c r="DO35" s="60" t="n"/>
      <c r="DP35" s="60" t="n"/>
      <c r="DQ35" s="60" t="n"/>
      <c r="DR35" s="60" t="n"/>
      <c r="DS35" s="60" t="n"/>
      <c r="DT35" s="60" t="n"/>
      <c r="DU35" s="60" t="n"/>
      <c r="DV35" s="18">
        <f>SUM(DJ35:DU35)</f>
        <v/>
      </c>
      <c r="DW35" s="59" t="n"/>
      <c r="DX35" s="60" t="n"/>
      <c r="DY35" s="60" t="n"/>
      <c r="DZ35" s="60" t="n"/>
      <c r="EA35" s="60" t="n"/>
      <c r="EB35" s="60" t="n"/>
      <c r="EC35" s="60" t="n"/>
      <c r="ED35" s="60" t="n"/>
      <c r="EE35" s="60" t="n"/>
      <c r="EF35" s="60" t="n"/>
      <c r="EG35" s="60" t="n"/>
      <c r="EH35" s="60" t="n"/>
      <c r="EI35" s="60" t="n"/>
      <c r="EJ35" s="18">
        <f>SUM(DX35:EI35)</f>
        <v/>
      </c>
      <c r="EK35" s="59" t="n"/>
      <c r="EL35" s="60" t="n"/>
      <c r="EM35" s="60" t="n"/>
      <c r="EN35" s="60" t="n"/>
      <c r="EO35" s="60" t="n"/>
      <c r="EP35" s="60" t="n"/>
      <c r="EQ35" s="60" t="n"/>
      <c r="ER35" s="60" t="n"/>
      <c r="ES35" s="60" t="n"/>
      <c r="ET35" s="60" t="n"/>
      <c r="EU35" s="60" t="n"/>
      <c r="EV35" s="60" t="n"/>
      <c r="EW35" s="60" t="n"/>
      <c r="EX35" s="18">
        <f>SUM(EL35:EW35)</f>
        <v/>
      </c>
      <c r="EY35" s="59" t="n"/>
      <c r="EZ35" s="60" t="n"/>
      <c r="FA35" s="60" t="n"/>
      <c r="FB35" s="60" t="n"/>
      <c r="FC35" s="60" t="n"/>
      <c r="FD35" s="60" t="n"/>
      <c r="FE35" s="60" t="n"/>
      <c r="FF35" s="60" t="n"/>
      <c r="FG35" s="60" t="n"/>
      <c r="FH35" s="60" t="n"/>
      <c r="FI35" s="60" t="n"/>
      <c r="FJ35" s="60" t="n"/>
      <c r="FK35" s="60" t="n"/>
      <c r="FL35" s="18">
        <f>SUM(EZ35:FK35)</f>
        <v/>
      </c>
      <c r="FM35" s="59" t="n"/>
      <c r="FN35" s="60" t="n"/>
      <c r="FO35" s="60" t="n"/>
      <c r="FP35" s="60" t="n"/>
      <c r="FQ35" s="60" t="n"/>
      <c r="FR35" s="60" t="n"/>
      <c r="FS35" s="60" t="n"/>
      <c r="FT35" s="60" t="n"/>
      <c r="FU35" s="60" t="n"/>
      <c r="FV35" s="60" t="n"/>
      <c r="FW35" s="60" t="n"/>
      <c r="FX35" s="60" t="n"/>
      <c r="FY35" s="60" t="n"/>
      <c r="FZ35" s="18">
        <f>SUM(FN35:FY35)</f>
        <v/>
      </c>
      <c r="GA35" s="59" t="n"/>
      <c r="GB35" s="60" t="n"/>
      <c r="GC35" s="60" t="n"/>
      <c r="GD35" s="60" t="n"/>
      <c r="GE35" s="60" t="n"/>
      <c r="GF35" s="60" t="n"/>
      <c r="GG35" s="60" t="n"/>
      <c r="GH35" s="60" t="n"/>
      <c r="GI35" s="60" t="n"/>
      <c r="GJ35" s="60" t="n"/>
      <c r="GK35" s="60" t="n"/>
      <c r="GL35" s="60" t="n"/>
      <c r="GM35" s="60" t="n"/>
      <c r="GN35" s="18">
        <f>SUM(GB35:GM35)</f>
        <v/>
      </c>
      <c r="GO35" s="59" t="n"/>
      <c r="GP35" s="60" t="n"/>
      <c r="GQ35" s="60" t="n"/>
      <c r="GR35" s="60" t="n"/>
      <c r="GS35" s="60" t="n"/>
      <c r="GT35" s="60" t="n"/>
      <c r="GU35" s="60" t="n"/>
      <c r="GV35" s="60" t="n"/>
      <c r="GW35" s="60" t="n"/>
      <c r="GX35" s="60" t="n"/>
      <c r="GY35" s="60" t="n"/>
      <c r="GZ35" s="60" t="n"/>
      <c r="HA35" s="60" t="n"/>
      <c r="HB35" s="18">
        <f>SUM(GP35:HA35)</f>
        <v/>
      </c>
      <c r="HC35" s="59" t="n"/>
      <c r="HD35" s="60" t="n"/>
      <c r="HE35" s="60" t="n"/>
      <c r="HF35" s="60" t="n"/>
      <c r="HG35" s="60" t="n"/>
      <c r="HH35" s="60" t="n"/>
      <c r="HI35" s="60" t="n"/>
      <c r="HJ35" s="60" t="n"/>
      <c r="HK35" s="60" t="n"/>
      <c r="HL35" s="60" t="n"/>
      <c r="HM35" s="60" t="n"/>
      <c r="HN35" s="60" t="n"/>
      <c r="HO35" s="60" t="n"/>
      <c r="HP35" s="18">
        <f>SUM(HD35:HO35)</f>
        <v/>
      </c>
      <c r="HQ35" s="59" t="n"/>
      <c r="HR35" s="60" t="n"/>
      <c r="HS35" s="60" t="n"/>
      <c r="HT35" s="60" t="n"/>
      <c r="HU35" s="60" t="n"/>
      <c r="HV35" s="60" t="n"/>
      <c r="HW35" s="60" t="n"/>
      <c r="HX35" s="60" t="n"/>
      <c r="HY35" s="60" t="n"/>
      <c r="HZ35" s="60" t="n"/>
      <c r="IA35" s="60" t="n"/>
      <c r="IB35" s="60" t="n"/>
      <c r="IC35" s="60" t="n"/>
      <c r="ID35" s="18">
        <f>SUM(HR35:IC35)</f>
        <v/>
      </c>
      <c r="IE35" s="59" t="n"/>
      <c r="IF35" s="60" t="n"/>
      <c r="IG35" s="60" t="n"/>
      <c r="IH35" s="60" t="n"/>
      <c r="II35" s="60" t="n"/>
      <c r="IJ35" s="60" t="n"/>
      <c r="IK35" s="60" t="n"/>
      <c r="IL35" s="60" t="n"/>
      <c r="IM35" s="60" t="n"/>
      <c r="IN35" s="60" t="n"/>
      <c r="IO35" s="60" t="n"/>
      <c r="IP35" s="60" t="n"/>
      <c r="IQ35" s="60" t="n"/>
      <c r="IR35" s="18">
        <f>SUM(IF35:IQ35)</f>
        <v/>
      </c>
      <c r="IS35" s="59" t="n"/>
      <c r="IT35" s="60" t="n"/>
      <c r="IU35" s="60" t="n"/>
      <c r="IV35" s="60" t="n"/>
      <c r="IW35" s="60" t="n"/>
      <c r="IX35" s="60" t="n"/>
      <c r="IY35" s="60" t="n"/>
      <c r="IZ35" s="60" t="n"/>
      <c r="JA35" s="60" t="n"/>
      <c r="JB35" s="60" t="n"/>
      <c r="JC35" s="60" t="n"/>
      <c r="JD35" s="60" t="n"/>
      <c r="JE35" s="60" t="n"/>
      <c r="JF35" s="18">
        <f>SUM(IT35:JE35)</f>
        <v/>
      </c>
      <c r="JG35" s="59" t="n"/>
      <c r="JH35" s="60" t="n"/>
      <c r="JI35" s="60" t="n"/>
      <c r="JJ35" s="60" t="n"/>
      <c r="JK35" s="60" t="n"/>
      <c r="JL35" s="60" t="n"/>
      <c r="JM35" s="60" t="n"/>
      <c r="JN35" s="60" t="n"/>
      <c r="JO35" s="60" t="n"/>
      <c r="JP35" s="60" t="n"/>
      <c r="JQ35" s="60" t="n"/>
      <c r="JR35" s="60" t="n"/>
      <c r="JS35" s="60" t="n"/>
      <c r="JT35" s="18">
        <f>SUM(JH35:JS35)</f>
        <v/>
      </c>
      <c r="JU35" s="59" t="n"/>
      <c r="JV35" s="60" t="n"/>
      <c r="JW35" s="60" t="n"/>
      <c r="JX35" s="60" t="n"/>
      <c r="JY35" s="60" t="n"/>
      <c r="JZ35" s="60" t="n"/>
      <c r="KA35" s="60" t="n"/>
      <c r="KB35" s="60" t="n"/>
      <c r="KC35" s="60" t="n"/>
      <c r="KD35" s="60" t="n"/>
      <c r="KE35" s="60" t="n"/>
      <c r="KF35" s="60" t="n"/>
      <c r="KG35" s="60" t="n"/>
      <c r="KH35" s="18">
        <f>SUM(JV35:KG35)</f>
        <v/>
      </c>
      <c r="KI35" s="59" t="n"/>
      <c r="KJ35" s="60" t="n"/>
      <c r="KK35" s="60" t="n"/>
      <c r="KL35" s="60" t="n"/>
      <c r="KM35" s="60" t="n"/>
      <c r="KN35" s="60" t="n"/>
      <c r="KO35" s="60" t="n"/>
      <c r="KP35" s="60" t="n"/>
      <c r="KQ35" s="60" t="n"/>
      <c r="KR35" s="60" t="n"/>
      <c r="KS35" s="60" t="n"/>
      <c r="KT35" s="60" t="n"/>
      <c r="KU35" s="60" t="n"/>
      <c r="KV35" s="18">
        <f>SUM(KJ35:KU35)</f>
        <v/>
      </c>
      <c r="KW35" s="59" t="n"/>
      <c r="KX35" s="81" t="n"/>
      <c r="KY35" s="76" t="n"/>
    </row>
    <row r="36" ht="14.25" customFormat="1" customHeight="1" s="10">
      <c r="A36" s="17" t="inlineStr">
        <is>
          <t xml:space="preserve">6.4 ติดข้อกำหนดโรงงาน เช่น ข้อกำหนดส่งออก GMP HACCP </t>
        </is>
      </c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4" t="n"/>
      <c r="M36" s="60" t="n"/>
      <c r="N36" s="18">
        <f>SUM(B36:M36)</f>
        <v/>
      </c>
      <c r="O36" s="59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  <c r="Z36" s="4" t="n"/>
      <c r="AA36" s="60" t="n"/>
      <c r="AB36" s="18">
        <f>SUM(P36:AA36)</f>
        <v/>
      </c>
      <c r="AC36" s="59" t="n"/>
      <c r="AD36" s="60" t="n"/>
      <c r="AE36" s="60" t="n"/>
      <c r="AF36" s="60" t="n"/>
      <c r="AG36" s="60" t="n"/>
      <c r="AH36" s="60" t="n"/>
      <c r="AI36" s="60" t="n"/>
      <c r="AJ36" s="60" t="n"/>
      <c r="AK36" s="60" t="n"/>
      <c r="AL36" s="60" t="n"/>
      <c r="AM36" s="60" t="n"/>
      <c r="AN36" s="4" t="n"/>
      <c r="AO36" s="60" t="n"/>
      <c r="AP36" s="18">
        <f>SUM(AD36:AO36)</f>
        <v/>
      </c>
      <c r="AQ36" s="59" t="n"/>
      <c r="AR36" s="60" t="n"/>
      <c r="AS36" s="60" t="n"/>
      <c r="AT36" s="60" t="n"/>
      <c r="AU36" s="60" t="n"/>
      <c r="AV36" s="60" t="n"/>
      <c r="AW36" s="60" t="n"/>
      <c r="AX36" s="60" t="n"/>
      <c r="AY36" s="60" t="n"/>
      <c r="AZ36" s="60" t="n"/>
      <c r="BA36" s="60" t="n"/>
      <c r="BB36" s="4" t="n"/>
      <c r="BC36" s="60" t="n"/>
      <c r="BD36" s="18">
        <f>SUM(AR36:BC36)</f>
        <v/>
      </c>
      <c r="BE36" s="59" t="n"/>
      <c r="BF36" s="60" t="n"/>
      <c r="BG36" s="60" t="n"/>
      <c r="BH36" s="60" t="n"/>
      <c r="BI36" s="60" t="n"/>
      <c r="BJ36" s="60" t="n"/>
      <c r="BK36" s="60" t="n"/>
      <c r="BL36" s="60" t="n"/>
      <c r="BM36" s="60" t="n"/>
      <c r="BN36" s="60" t="n"/>
      <c r="BO36" s="60" t="n"/>
      <c r="BP36" s="4" t="n"/>
      <c r="BQ36" s="60" t="n"/>
      <c r="BR36" s="18">
        <f>SUM(BF36:BQ36)</f>
        <v/>
      </c>
      <c r="BS36" s="59" t="n"/>
      <c r="BT36" s="60" t="n"/>
      <c r="BU36" s="60" t="n"/>
      <c r="BV36" s="60" t="n"/>
      <c r="BW36" s="60" t="n"/>
      <c r="BX36" s="60" t="n"/>
      <c r="BY36" s="60" t="n"/>
      <c r="BZ36" s="60" t="n"/>
      <c r="CA36" s="60" t="n"/>
      <c r="CB36" s="60" t="n"/>
      <c r="CC36" s="60" t="n"/>
      <c r="CD36" s="4" t="n"/>
      <c r="CE36" s="60" t="n"/>
      <c r="CF36" s="18">
        <f>SUM(BT36:CE36)</f>
        <v/>
      </c>
      <c r="CG36" s="59" t="n"/>
      <c r="CH36" s="60" t="n"/>
      <c r="CI36" s="60" t="n"/>
      <c r="CJ36" s="60" t="n"/>
      <c r="CK36" s="60" t="n"/>
      <c r="CL36" s="60" t="n"/>
      <c r="CM36" s="60" t="n"/>
      <c r="CN36" s="60" t="n"/>
      <c r="CO36" s="60" t="n"/>
      <c r="CP36" s="60" t="n"/>
      <c r="CQ36" s="60" t="n"/>
      <c r="CR36" s="4" t="n"/>
      <c r="CS36" s="60" t="n"/>
      <c r="CT36" s="18">
        <f>SUM(CH36:CS36)</f>
        <v/>
      </c>
      <c r="CU36" s="59" t="n"/>
      <c r="CV36" s="60" t="n"/>
      <c r="CW36" s="60" t="n"/>
      <c r="CX36" s="60" t="n"/>
      <c r="CY36" s="60" t="n"/>
      <c r="CZ36" s="60" t="n"/>
      <c r="DA36" s="60" t="n"/>
      <c r="DB36" s="60" t="n"/>
      <c r="DC36" s="60" t="n"/>
      <c r="DD36" s="60" t="n"/>
      <c r="DE36" s="60" t="n"/>
      <c r="DF36" s="4" t="n"/>
      <c r="DG36" s="60" t="n"/>
      <c r="DH36" s="18">
        <f>SUM(CV36:DG36)</f>
        <v/>
      </c>
      <c r="DI36" s="59" t="n"/>
      <c r="DJ36" s="60" t="n"/>
      <c r="DK36" s="60" t="n"/>
      <c r="DL36" s="60" t="n"/>
      <c r="DM36" s="60" t="n"/>
      <c r="DN36" s="60" t="n"/>
      <c r="DO36" s="60" t="n"/>
      <c r="DP36" s="60" t="n"/>
      <c r="DQ36" s="60" t="n"/>
      <c r="DR36" s="60" t="n"/>
      <c r="DS36" s="60" t="n"/>
      <c r="DT36" s="4" t="n"/>
      <c r="DU36" s="60" t="n"/>
      <c r="DV36" s="18">
        <f>SUM(DJ36:DU36)</f>
        <v/>
      </c>
      <c r="DW36" s="59" t="n"/>
      <c r="DX36" s="60" t="n"/>
      <c r="DY36" s="60" t="n"/>
      <c r="DZ36" s="60" t="n"/>
      <c r="EA36" s="60" t="n"/>
      <c r="EB36" s="60" t="n"/>
      <c r="EC36" s="60" t="n"/>
      <c r="ED36" s="60" t="n"/>
      <c r="EE36" s="60" t="n"/>
      <c r="EF36" s="60" t="n"/>
      <c r="EG36" s="60" t="n"/>
      <c r="EH36" s="4" t="n"/>
      <c r="EI36" s="60" t="n"/>
      <c r="EJ36" s="18">
        <f>SUM(DX36:EI36)</f>
        <v/>
      </c>
      <c r="EK36" s="59" t="n"/>
      <c r="EL36" s="60" t="n"/>
      <c r="EM36" s="60" t="n"/>
      <c r="EN36" s="60" t="n"/>
      <c r="EO36" s="60" t="n"/>
      <c r="EP36" s="60" t="n"/>
      <c r="EQ36" s="60" t="n"/>
      <c r="ER36" s="60" t="n"/>
      <c r="ES36" s="60" t="n"/>
      <c r="ET36" s="60" t="n"/>
      <c r="EU36" s="60" t="n"/>
      <c r="EV36" s="4" t="n"/>
      <c r="EW36" s="60" t="n"/>
      <c r="EX36" s="18">
        <f>SUM(EL36:EW36)</f>
        <v/>
      </c>
      <c r="EY36" s="59" t="n"/>
      <c r="EZ36" s="60" t="n"/>
      <c r="FA36" s="60" t="n"/>
      <c r="FB36" s="60" t="n"/>
      <c r="FC36" s="60" t="n"/>
      <c r="FD36" s="60" t="n"/>
      <c r="FE36" s="60" t="n"/>
      <c r="FF36" s="60" t="n"/>
      <c r="FG36" s="60" t="n"/>
      <c r="FH36" s="60" t="n"/>
      <c r="FI36" s="60" t="n"/>
      <c r="FJ36" s="4" t="n"/>
      <c r="FK36" s="60" t="n"/>
      <c r="FL36" s="18">
        <f>SUM(EZ36:FK36)</f>
        <v/>
      </c>
      <c r="FM36" s="59" t="n"/>
      <c r="FN36" s="60" t="n"/>
      <c r="FO36" s="60" t="n"/>
      <c r="FP36" s="60" t="n"/>
      <c r="FQ36" s="60" t="n"/>
      <c r="FR36" s="60" t="n"/>
      <c r="FS36" s="60" t="n"/>
      <c r="FT36" s="60" t="n"/>
      <c r="FU36" s="60" t="n"/>
      <c r="FV36" s="60" t="n"/>
      <c r="FW36" s="60" t="n"/>
      <c r="FX36" s="4" t="n"/>
      <c r="FY36" s="60" t="n"/>
      <c r="FZ36" s="18">
        <f>SUM(FN36:FY36)</f>
        <v/>
      </c>
      <c r="GA36" s="59" t="n"/>
      <c r="GB36" s="60" t="n"/>
      <c r="GC36" s="60" t="n"/>
      <c r="GD36" s="60" t="n"/>
      <c r="GE36" s="60" t="n"/>
      <c r="GF36" s="60" t="n"/>
      <c r="GG36" s="60" t="n"/>
      <c r="GH36" s="60" t="n"/>
      <c r="GI36" s="60" t="n"/>
      <c r="GJ36" s="60" t="n"/>
      <c r="GK36" s="60" t="n"/>
      <c r="GL36" s="4" t="n"/>
      <c r="GM36" s="60" t="n"/>
      <c r="GN36" s="18">
        <f>SUM(GB36:GM36)</f>
        <v/>
      </c>
      <c r="GO36" s="59" t="n"/>
      <c r="GP36" s="60" t="n"/>
      <c r="GQ36" s="60" t="n"/>
      <c r="GR36" s="60" t="n"/>
      <c r="GS36" s="60" t="n"/>
      <c r="GT36" s="60" t="n"/>
      <c r="GU36" s="60" t="n"/>
      <c r="GV36" s="60" t="n"/>
      <c r="GW36" s="60" t="n"/>
      <c r="GX36" s="60" t="n"/>
      <c r="GY36" s="60" t="n"/>
      <c r="GZ36" s="4" t="n"/>
      <c r="HA36" s="60" t="n"/>
      <c r="HB36" s="18">
        <f>SUM(GP36:HA36)</f>
        <v/>
      </c>
      <c r="HC36" s="59" t="n"/>
      <c r="HD36" s="60" t="n"/>
      <c r="HE36" s="60" t="n"/>
      <c r="HF36" s="60" t="n"/>
      <c r="HG36" s="60" t="n"/>
      <c r="HH36" s="60" t="n"/>
      <c r="HI36" s="60" t="n"/>
      <c r="HJ36" s="60" t="n"/>
      <c r="HK36" s="60" t="n"/>
      <c r="HL36" s="60" t="n"/>
      <c r="HM36" s="60" t="n"/>
      <c r="HN36" s="4" t="n"/>
      <c r="HO36" s="60" t="n"/>
      <c r="HP36" s="18">
        <f>SUM(HD36:HO36)</f>
        <v/>
      </c>
      <c r="HQ36" s="59" t="n"/>
      <c r="HR36" s="60" t="n"/>
      <c r="HS36" s="60" t="n"/>
      <c r="HT36" s="60" t="n"/>
      <c r="HU36" s="60" t="n"/>
      <c r="HV36" s="60" t="n"/>
      <c r="HW36" s="60" t="n"/>
      <c r="HX36" s="60" t="n"/>
      <c r="HY36" s="60" t="n"/>
      <c r="HZ36" s="60" t="n"/>
      <c r="IA36" s="60" t="n"/>
      <c r="IB36" s="4" t="n"/>
      <c r="IC36" s="60" t="n"/>
      <c r="ID36" s="18">
        <f>SUM(HR36:IC36)</f>
        <v/>
      </c>
      <c r="IE36" s="59" t="n"/>
      <c r="IF36" s="60" t="n"/>
      <c r="IG36" s="60" t="n"/>
      <c r="IH36" s="60" t="n"/>
      <c r="II36" s="60" t="n"/>
      <c r="IJ36" s="60" t="n"/>
      <c r="IK36" s="60" t="n"/>
      <c r="IL36" s="60" t="n"/>
      <c r="IM36" s="60" t="n"/>
      <c r="IN36" s="60" t="n"/>
      <c r="IO36" s="60" t="n"/>
      <c r="IP36" s="4" t="n"/>
      <c r="IQ36" s="60" t="n"/>
      <c r="IR36" s="18">
        <f>SUM(IF36:IQ36)</f>
        <v/>
      </c>
      <c r="IS36" s="59" t="n"/>
      <c r="IT36" s="60" t="n"/>
      <c r="IU36" s="60" t="n"/>
      <c r="IV36" s="60" t="n"/>
      <c r="IW36" s="60" t="n"/>
      <c r="IX36" s="60" t="n"/>
      <c r="IY36" s="60" t="n"/>
      <c r="IZ36" s="60" t="n"/>
      <c r="JA36" s="60" t="n"/>
      <c r="JB36" s="60" t="n"/>
      <c r="JC36" s="60" t="n"/>
      <c r="JD36" s="4" t="n"/>
      <c r="JE36" s="60" t="n"/>
      <c r="JF36" s="18">
        <f>SUM(IT36:JE36)</f>
        <v/>
      </c>
      <c r="JG36" s="59" t="n"/>
      <c r="JH36" s="60" t="n"/>
      <c r="JI36" s="60" t="n"/>
      <c r="JJ36" s="60" t="n"/>
      <c r="JK36" s="60" t="n"/>
      <c r="JL36" s="60" t="n"/>
      <c r="JM36" s="60" t="n"/>
      <c r="JN36" s="60" t="n"/>
      <c r="JO36" s="60" t="n"/>
      <c r="JP36" s="60" t="n"/>
      <c r="JQ36" s="60" t="n"/>
      <c r="JR36" s="4" t="n"/>
      <c r="JS36" s="60" t="n"/>
      <c r="JT36" s="18">
        <f>SUM(JH36:JS36)</f>
        <v/>
      </c>
      <c r="JU36" s="59" t="n"/>
      <c r="JV36" s="60" t="n"/>
      <c r="JW36" s="60" t="n"/>
      <c r="JX36" s="60" t="n"/>
      <c r="JY36" s="60" t="n"/>
      <c r="JZ36" s="60" t="n"/>
      <c r="KA36" s="60" t="n"/>
      <c r="KB36" s="60" t="n"/>
      <c r="KC36" s="60" t="n"/>
      <c r="KD36" s="60" t="n"/>
      <c r="KE36" s="60" t="n"/>
      <c r="KF36" s="4" t="n"/>
      <c r="KG36" s="60" t="n"/>
      <c r="KH36" s="18">
        <f>SUM(JV36:KG36)</f>
        <v/>
      </c>
      <c r="KI36" s="59" t="n"/>
      <c r="KJ36" s="60" t="n"/>
      <c r="KK36" s="60" t="n"/>
      <c r="KL36" s="60" t="n"/>
      <c r="KM36" s="60" t="n"/>
      <c r="KN36" s="60" t="n"/>
      <c r="KO36" s="60" t="n"/>
      <c r="KP36" s="60" t="n"/>
      <c r="KQ36" s="60" t="n"/>
      <c r="KR36" s="60" t="n"/>
      <c r="KS36" s="60" t="n"/>
      <c r="KT36" s="4" t="n"/>
      <c r="KU36" s="60" t="n"/>
      <c r="KV36" s="18">
        <f>SUM(KJ36:KU36)</f>
        <v/>
      </c>
      <c r="KW36" s="59" t="n"/>
      <c r="KX36" s="81" t="n"/>
      <c r="KY36" s="76" t="n"/>
    </row>
    <row r="37" ht="14.25" customFormat="1" customHeight="1" s="10">
      <c r="A37" s="17" t="inlineStr">
        <is>
          <t>6.5 เครื่องจักรที่มีในโรงงานยังไม่รองรับการผลิต</t>
        </is>
      </c>
      <c r="B37" s="60" t="n"/>
      <c r="C37" s="60" t="n"/>
      <c r="D37" s="60" t="n"/>
      <c r="E37" s="60" t="n"/>
      <c r="F37" s="60" t="n"/>
      <c r="G37" s="60" t="n"/>
      <c r="H37" s="60" t="n"/>
      <c r="I37" s="60" t="n"/>
      <c r="J37" s="60" t="n"/>
      <c r="K37" s="60" t="n"/>
      <c r="L37" s="4" t="n"/>
      <c r="M37" s="60" t="n"/>
      <c r="N37" s="18">
        <f>SUM(B37:M37)</f>
        <v/>
      </c>
      <c r="O37" s="59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4" t="n"/>
      <c r="AA37" s="60" t="n"/>
      <c r="AB37" s="18">
        <f>SUM(P37:AA37)</f>
        <v/>
      </c>
      <c r="AC37" s="59" t="n"/>
      <c r="AD37" s="60" t="n"/>
      <c r="AE37" s="60" t="n"/>
      <c r="AF37" s="60" t="n"/>
      <c r="AG37" s="60" t="n"/>
      <c r="AH37" s="60" t="n"/>
      <c r="AI37" s="60" t="n"/>
      <c r="AJ37" s="60" t="n"/>
      <c r="AK37" s="60" t="n"/>
      <c r="AL37" s="60" t="n"/>
      <c r="AM37" s="60" t="n"/>
      <c r="AN37" s="4" t="n"/>
      <c r="AO37" s="60" t="n"/>
      <c r="AP37" s="18">
        <f>SUM(AD37:AO37)</f>
        <v/>
      </c>
      <c r="AQ37" s="59" t="n"/>
      <c r="AR37" s="60" t="n"/>
      <c r="AS37" s="60" t="n"/>
      <c r="AT37" s="60" t="n"/>
      <c r="AU37" s="60" t="n"/>
      <c r="AV37" s="60" t="n"/>
      <c r="AW37" s="60" t="n"/>
      <c r="AX37" s="60" t="n"/>
      <c r="AY37" s="60" t="n"/>
      <c r="AZ37" s="60" t="n"/>
      <c r="BA37" s="60" t="n"/>
      <c r="BB37" s="4" t="n"/>
      <c r="BC37" s="60" t="n"/>
      <c r="BD37" s="18">
        <f>SUM(AR37:BC37)</f>
        <v/>
      </c>
      <c r="BE37" s="59" t="n"/>
      <c r="BF37" s="60" t="n"/>
      <c r="BG37" s="60" t="n"/>
      <c r="BH37" s="60" t="n"/>
      <c r="BI37" s="60" t="n"/>
      <c r="BJ37" s="60" t="n"/>
      <c r="BK37" s="60" t="n"/>
      <c r="BL37" s="60" t="n"/>
      <c r="BM37" s="60" t="n"/>
      <c r="BN37" s="60" t="n"/>
      <c r="BO37" s="60" t="n"/>
      <c r="BP37" s="4" t="n"/>
      <c r="BQ37" s="60" t="n"/>
      <c r="BR37" s="18">
        <f>SUM(BF37:BQ37)</f>
        <v/>
      </c>
      <c r="BS37" s="59" t="n"/>
      <c r="BT37" s="60" t="n"/>
      <c r="BU37" s="60" t="n"/>
      <c r="BV37" s="60" t="n"/>
      <c r="BW37" s="60" t="n"/>
      <c r="BX37" s="60" t="n"/>
      <c r="BY37" s="60" t="n"/>
      <c r="BZ37" s="60" t="n"/>
      <c r="CA37" s="60" t="n"/>
      <c r="CB37" s="60" t="n"/>
      <c r="CC37" s="60" t="n"/>
      <c r="CD37" s="4" t="n"/>
      <c r="CE37" s="60" t="n"/>
      <c r="CF37" s="18">
        <f>SUM(BT37:CE37)</f>
        <v/>
      </c>
      <c r="CG37" s="59" t="n"/>
      <c r="CH37" s="60" t="n"/>
      <c r="CI37" s="60" t="n"/>
      <c r="CJ37" s="60" t="n"/>
      <c r="CK37" s="60" t="n"/>
      <c r="CL37" s="60" t="n"/>
      <c r="CM37" s="60" t="n"/>
      <c r="CN37" s="60" t="n"/>
      <c r="CO37" s="60" t="n"/>
      <c r="CP37" s="60" t="n"/>
      <c r="CQ37" s="60" t="n"/>
      <c r="CR37" s="4" t="n"/>
      <c r="CS37" s="60" t="n"/>
      <c r="CT37" s="18">
        <f>SUM(CH37:CS37)</f>
        <v/>
      </c>
      <c r="CU37" s="59" t="n"/>
      <c r="CV37" s="60" t="n"/>
      <c r="CW37" s="60" t="n"/>
      <c r="CX37" s="60" t="n"/>
      <c r="CY37" s="60" t="n"/>
      <c r="CZ37" s="60" t="n"/>
      <c r="DA37" s="60" t="n"/>
      <c r="DB37" s="60" t="n"/>
      <c r="DC37" s="60" t="n"/>
      <c r="DD37" s="60" t="n"/>
      <c r="DE37" s="60" t="n"/>
      <c r="DF37" s="4" t="n"/>
      <c r="DG37" s="60" t="n"/>
      <c r="DH37" s="18">
        <f>SUM(CV37:DG37)</f>
        <v/>
      </c>
      <c r="DI37" s="59" t="n"/>
      <c r="DJ37" s="60" t="n"/>
      <c r="DK37" s="60" t="n"/>
      <c r="DL37" s="60" t="n"/>
      <c r="DM37" s="60" t="n"/>
      <c r="DN37" s="60" t="n"/>
      <c r="DO37" s="60" t="n"/>
      <c r="DP37" s="60" t="n"/>
      <c r="DQ37" s="60" t="n"/>
      <c r="DR37" s="60" t="n"/>
      <c r="DS37" s="60" t="n"/>
      <c r="DT37" s="4" t="n"/>
      <c r="DU37" s="60" t="n"/>
      <c r="DV37" s="18">
        <f>SUM(DJ37:DU37)</f>
        <v/>
      </c>
      <c r="DW37" s="59" t="n"/>
      <c r="DX37" s="60" t="n"/>
      <c r="DY37" s="60" t="n"/>
      <c r="DZ37" s="60" t="n"/>
      <c r="EA37" s="60" t="n"/>
      <c r="EB37" s="60" t="n"/>
      <c r="EC37" s="60" t="n"/>
      <c r="ED37" s="60" t="n"/>
      <c r="EE37" s="60" t="n"/>
      <c r="EF37" s="60" t="n"/>
      <c r="EG37" s="60" t="n"/>
      <c r="EH37" s="4" t="n"/>
      <c r="EI37" s="60" t="n"/>
      <c r="EJ37" s="18">
        <f>SUM(DX37:EI37)</f>
        <v/>
      </c>
      <c r="EK37" s="59" t="n"/>
      <c r="EL37" s="60" t="n"/>
      <c r="EM37" s="60" t="n"/>
      <c r="EN37" s="60" t="n"/>
      <c r="EO37" s="60" t="n"/>
      <c r="EP37" s="60" t="n"/>
      <c r="EQ37" s="60" t="n"/>
      <c r="ER37" s="60" t="n"/>
      <c r="ES37" s="60" t="n"/>
      <c r="ET37" s="60" t="n"/>
      <c r="EU37" s="60" t="n"/>
      <c r="EV37" s="4" t="n"/>
      <c r="EW37" s="60" t="n"/>
      <c r="EX37" s="18">
        <f>SUM(EL37:EW37)</f>
        <v/>
      </c>
      <c r="EY37" s="59" t="n"/>
      <c r="EZ37" s="60" t="n"/>
      <c r="FA37" s="60" t="n"/>
      <c r="FB37" s="60" t="n"/>
      <c r="FC37" s="60" t="n"/>
      <c r="FD37" s="60" t="n"/>
      <c r="FE37" s="60" t="n"/>
      <c r="FF37" s="60" t="n"/>
      <c r="FG37" s="60" t="n"/>
      <c r="FH37" s="60" t="n"/>
      <c r="FI37" s="60" t="n"/>
      <c r="FJ37" s="4" t="n"/>
      <c r="FK37" s="60" t="n"/>
      <c r="FL37" s="18">
        <f>SUM(EZ37:FK37)</f>
        <v/>
      </c>
      <c r="FM37" s="59" t="n"/>
      <c r="FN37" s="60" t="n"/>
      <c r="FO37" s="60" t="n"/>
      <c r="FP37" s="60" t="n"/>
      <c r="FQ37" s="60" t="n"/>
      <c r="FR37" s="60" t="n"/>
      <c r="FS37" s="60" t="n"/>
      <c r="FT37" s="60" t="n"/>
      <c r="FU37" s="60" t="n"/>
      <c r="FV37" s="60" t="n"/>
      <c r="FW37" s="60" t="n"/>
      <c r="FX37" s="4" t="n"/>
      <c r="FY37" s="60" t="n"/>
      <c r="FZ37" s="18">
        <f>SUM(FN37:FY37)</f>
        <v/>
      </c>
      <c r="GA37" s="59" t="n"/>
      <c r="GB37" s="60" t="n"/>
      <c r="GC37" s="60" t="n"/>
      <c r="GD37" s="60" t="n"/>
      <c r="GE37" s="60" t="n"/>
      <c r="GF37" s="60" t="n"/>
      <c r="GG37" s="60" t="n"/>
      <c r="GH37" s="60" t="n"/>
      <c r="GI37" s="60" t="n"/>
      <c r="GJ37" s="60" t="n"/>
      <c r="GK37" s="60" t="n"/>
      <c r="GL37" s="4" t="n"/>
      <c r="GM37" s="60" t="n"/>
      <c r="GN37" s="18">
        <f>SUM(GB37:GM37)</f>
        <v/>
      </c>
      <c r="GO37" s="59" t="n"/>
      <c r="GP37" s="60" t="n"/>
      <c r="GQ37" s="60" t="n"/>
      <c r="GR37" s="60" t="n"/>
      <c r="GS37" s="60" t="n"/>
      <c r="GT37" s="60" t="n"/>
      <c r="GU37" s="60" t="n"/>
      <c r="GV37" s="60" t="n"/>
      <c r="GW37" s="60" t="n"/>
      <c r="GX37" s="60" t="n"/>
      <c r="GY37" s="60" t="n"/>
      <c r="GZ37" s="4" t="n"/>
      <c r="HA37" s="60" t="n"/>
      <c r="HB37" s="18">
        <f>SUM(GP37:HA37)</f>
        <v/>
      </c>
      <c r="HC37" s="59" t="n"/>
      <c r="HD37" s="60" t="n"/>
      <c r="HE37" s="60" t="n"/>
      <c r="HF37" s="60" t="n"/>
      <c r="HG37" s="60" t="n"/>
      <c r="HH37" s="60" t="n"/>
      <c r="HI37" s="60" t="n"/>
      <c r="HJ37" s="60" t="n"/>
      <c r="HK37" s="60" t="n"/>
      <c r="HL37" s="60" t="n"/>
      <c r="HM37" s="60" t="n"/>
      <c r="HN37" s="4" t="n"/>
      <c r="HO37" s="60" t="n"/>
      <c r="HP37" s="18">
        <f>SUM(HD37:HO37)</f>
        <v/>
      </c>
      <c r="HQ37" s="59" t="n"/>
      <c r="HR37" s="60" t="n"/>
      <c r="HS37" s="60" t="n"/>
      <c r="HT37" s="60" t="n"/>
      <c r="HU37" s="60" t="n"/>
      <c r="HV37" s="60" t="n"/>
      <c r="HW37" s="60" t="n"/>
      <c r="HX37" s="60" t="n"/>
      <c r="HY37" s="60" t="n"/>
      <c r="HZ37" s="60" t="n"/>
      <c r="IA37" s="60" t="n"/>
      <c r="IB37" s="4" t="n"/>
      <c r="IC37" s="60" t="n"/>
      <c r="ID37" s="18">
        <f>SUM(HR37:IC37)</f>
        <v/>
      </c>
      <c r="IE37" s="59" t="n"/>
      <c r="IF37" s="60" t="n"/>
      <c r="IG37" s="60" t="n"/>
      <c r="IH37" s="60" t="n"/>
      <c r="II37" s="60" t="n"/>
      <c r="IJ37" s="60" t="n"/>
      <c r="IK37" s="60" t="n"/>
      <c r="IL37" s="60" t="n"/>
      <c r="IM37" s="60" t="n"/>
      <c r="IN37" s="60" t="n"/>
      <c r="IO37" s="60" t="n"/>
      <c r="IP37" s="4" t="n"/>
      <c r="IQ37" s="60" t="n"/>
      <c r="IR37" s="18">
        <f>SUM(IF37:IQ37)</f>
        <v/>
      </c>
      <c r="IS37" s="59" t="n"/>
      <c r="IT37" s="60" t="n"/>
      <c r="IU37" s="60" t="n"/>
      <c r="IV37" s="60" t="n"/>
      <c r="IW37" s="60" t="n"/>
      <c r="IX37" s="60" t="n"/>
      <c r="IY37" s="60" t="n"/>
      <c r="IZ37" s="60" t="n"/>
      <c r="JA37" s="60" t="n"/>
      <c r="JB37" s="60" t="n"/>
      <c r="JC37" s="60" t="n"/>
      <c r="JD37" s="4" t="n"/>
      <c r="JE37" s="60" t="n"/>
      <c r="JF37" s="18">
        <f>SUM(IT37:JE37)</f>
        <v/>
      </c>
      <c r="JG37" s="59" t="n"/>
      <c r="JH37" s="60" t="n"/>
      <c r="JI37" s="60" t="n"/>
      <c r="JJ37" s="60" t="n"/>
      <c r="JK37" s="60" t="n"/>
      <c r="JL37" s="60" t="n"/>
      <c r="JM37" s="60" t="n"/>
      <c r="JN37" s="60" t="n"/>
      <c r="JO37" s="60" t="n"/>
      <c r="JP37" s="60" t="n"/>
      <c r="JQ37" s="60" t="n"/>
      <c r="JR37" s="4" t="n"/>
      <c r="JS37" s="60" t="n"/>
      <c r="JT37" s="18">
        <f>SUM(JH37:JS37)</f>
        <v/>
      </c>
      <c r="JU37" s="59" t="n"/>
      <c r="JV37" s="60" t="n"/>
      <c r="JW37" s="60" t="n"/>
      <c r="JX37" s="60" t="n"/>
      <c r="JY37" s="60" t="n"/>
      <c r="JZ37" s="60" t="n"/>
      <c r="KA37" s="60" t="n"/>
      <c r="KB37" s="60" t="n"/>
      <c r="KC37" s="60" t="n"/>
      <c r="KD37" s="60" t="n"/>
      <c r="KE37" s="60" t="n"/>
      <c r="KF37" s="4" t="n"/>
      <c r="KG37" s="60" t="n"/>
      <c r="KH37" s="18">
        <f>SUM(JV37:KG37)</f>
        <v/>
      </c>
      <c r="KI37" s="59" t="n"/>
      <c r="KJ37" s="60" t="n"/>
      <c r="KK37" s="60" t="n"/>
      <c r="KL37" s="60" t="n"/>
      <c r="KM37" s="60" t="n"/>
      <c r="KN37" s="60" t="n"/>
      <c r="KO37" s="60" t="n"/>
      <c r="KP37" s="60" t="n"/>
      <c r="KQ37" s="60" t="n"/>
      <c r="KR37" s="60" t="n"/>
      <c r="KS37" s="60" t="n"/>
      <c r="KT37" s="4" t="n"/>
      <c r="KU37" s="60" t="n"/>
      <c r="KV37" s="18">
        <f>SUM(KJ37:KU37)</f>
        <v/>
      </c>
      <c r="KW37" s="59" t="n"/>
      <c r="KX37" s="81" t="n"/>
      <c r="KY37" s="76" t="n"/>
    </row>
    <row r="38" ht="14.25" customFormat="1" customHeight="1" s="16">
      <c r="A38" s="12" t="inlineStr">
        <is>
          <t>7.อื่นๆ</t>
        </is>
      </c>
      <c r="B38" s="21" t="n"/>
      <c r="C38" s="21" t="n"/>
      <c r="D38" s="21" t="n"/>
      <c r="E38" s="13" t="n"/>
      <c r="F38" s="21" t="n"/>
      <c r="G38" s="21" t="n"/>
      <c r="H38" s="21" t="n"/>
      <c r="I38" s="13" t="n"/>
      <c r="J38" s="21" t="n"/>
      <c r="K38" s="21" t="n"/>
      <c r="L38" s="21" t="n"/>
      <c r="M38" s="13" t="n"/>
      <c r="N38" s="14">
        <f>SUM(B38:M38)</f>
        <v/>
      </c>
      <c r="O38" s="15">
        <f>N38/N$46%</f>
        <v/>
      </c>
      <c r="P38" s="21" t="n"/>
      <c r="Q38" s="21" t="n"/>
      <c r="R38" s="21" t="n"/>
      <c r="S38" s="13" t="n"/>
      <c r="T38" s="21" t="n"/>
      <c r="U38" s="21" t="n"/>
      <c r="V38" s="21" t="n"/>
      <c r="W38" s="13" t="n"/>
      <c r="X38" s="21" t="n"/>
      <c r="Y38" s="21" t="n"/>
      <c r="Z38" s="21" t="n"/>
      <c r="AA38" s="13" t="n"/>
      <c r="AB38" s="14">
        <f>SUM(P38:AA38)</f>
        <v/>
      </c>
      <c r="AC38" s="15">
        <f>AB38/AB$46%</f>
        <v/>
      </c>
      <c r="AD38" s="21" t="n"/>
      <c r="AE38" s="21" t="n"/>
      <c r="AF38" s="21" t="n"/>
      <c r="AG38" s="13" t="n"/>
      <c r="AH38" s="21" t="n"/>
      <c r="AI38" s="21" t="n"/>
      <c r="AJ38" s="21" t="n"/>
      <c r="AK38" s="13" t="n"/>
      <c r="AL38" s="21" t="n"/>
      <c r="AM38" s="21" t="n"/>
      <c r="AN38" s="21" t="n"/>
      <c r="AO38" s="13" t="n"/>
      <c r="AP38" s="14">
        <f>SUM(AD38:AO38)</f>
        <v/>
      </c>
      <c r="AQ38" s="15">
        <f>AP38/AP$46%</f>
        <v/>
      </c>
      <c r="AR38" s="21" t="n"/>
      <c r="AS38" s="21" t="n"/>
      <c r="AT38" s="21" t="n"/>
      <c r="AU38" s="13" t="n"/>
      <c r="AV38" s="21" t="n"/>
      <c r="AW38" s="21" t="n"/>
      <c r="AX38" s="21" t="n"/>
      <c r="AY38" s="13" t="n"/>
      <c r="AZ38" s="21" t="n"/>
      <c r="BA38" s="21" t="n"/>
      <c r="BB38" s="21" t="n"/>
      <c r="BC38" s="13" t="n"/>
      <c r="BD38" s="14">
        <f>SUM(AR38:BC38)</f>
        <v/>
      </c>
      <c r="BE38" s="15">
        <f>BD38/BD$46%</f>
        <v/>
      </c>
      <c r="BF38" s="21" t="n"/>
      <c r="BG38" s="21" t="n"/>
      <c r="BH38" s="21" t="n"/>
      <c r="BI38" s="13" t="n"/>
      <c r="BJ38" s="21" t="n"/>
      <c r="BK38" s="21" t="n"/>
      <c r="BL38" s="21" t="n"/>
      <c r="BM38" s="13" t="n"/>
      <c r="BN38" s="21" t="n"/>
      <c r="BO38" s="21" t="n"/>
      <c r="BP38" s="21" t="n"/>
      <c r="BQ38" s="13" t="n"/>
      <c r="BR38" s="14">
        <f>SUM(BF38:BQ38)</f>
        <v/>
      </c>
      <c r="BS38" s="15">
        <f>BR38/BR$46%</f>
        <v/>
      </c>
      <c r="BT38" s="21" t="n"/>
      <c r="BU38" s="21" t="n"/>
      <c r="BV38" s="21" t="n"/>
      <c r="BW38" s="13" t="n"/>
      <c r="BX38" s="21" t="n"/>
      <c r="BY38" s="21" t="n"/>
      <c r="BZ38" s="21" t="n"/>
      <c r="CA38" s="13" t="n"/>
      <c r="CB38" s="21" t="n"/>
      <c r="CC38" s="21" t="n"/>
      <c r="CD38" s="21" t="n"/>
      <c r="CE38" s="13" t="n"/>
      <c r="CF38" s="14">
        <f>SUM(BT38:CE38)</f>
        <v/>
      </c>
      <c r="CG38" s="15">
        <f>CF38/CF$46%</f>
        <v/>
      </c>
      <c r="CH38" s="21" t="n"/>
      <c r="CI38" s="21" t="n"/>
      <c r="CJ38" s="21" t="n"/>
      <c r="CK38" s="13" t="n"/>
      <c r="CL38" s="21" t="n"/>
      <c r="CM38" s="21" t="n"/>
      <c r="CN38" s="21" t="n"/>
      <c r="CO38" s="13" t="n"/>
      <c r="CP38" s="21" t="n"/>
      <c r="CQ38" s="21" t="n"/>
      <c r="CR38" s="21" t="n"/>
      <c r="CS38" s="13" t="n"/>
      <c r="CT38" s="14">
        <f>SUM(CH38:CS38)</f>
        <v/>
      </c>
      <c r="CU38" s="15">
        <f>CT38/CT$46%</f>
        <v/>
      </c>
      <c r="CV38" s="14" t="n">
        <v>6</v>
      </c>
      <c r="CW38" s="21" t="n"/>
      <c r="CX38" s="21" t="n"/>
      <c r="CY38" s="13" t="n"/>
      <c r="CZ38" s="21" t="n"/>
      <c r="DA38" s="21" t="n"/>
      <c r="DB38" s="21" t="n"/>
      <c r="DC38" s="13" t="n"/>
      <c r="DD38" s="21" t="n"/>
      <c r="DE38" s="21" t="n"/>
      <c r="DF38" s="21" t="n"/>
      <c r="DG38" s="13" t="n"/>
      <c r="DH38" s="14">
        <f>SUM(CV38:DG38)</f>
        <v/>
      </c>
      <c r="DI38" s="15">
        <f>DH38/DH$46%</f>
        <v/>
      </c>
      <c r="DJ38" s="21" t="n"/>
      <c r="DK38" s="21" t="n"/>
      <c r="DL38" s="21" t="n"/>
      <c r="DM38" s="13" t="n"/>
      <c r="DN38" s="21" t="n"/>
      <c r="DO38" s="21" t="n"/>
      <c r="DP38" s="21" t="n"/>
      <c r="DQ38" s="13" t="n"/>
      <c r="DR38" s="21" t="n"/>
      <c r="DS38" s="21" t="n"/>
      <c r="DT38" s="21" t="n"/>
      <c r="DU38" s="13" t="n"/>
      <c r="DV38" s="14">
        <f>SUM(DJ38:DU38)</f>
        <v/>
      </c>
      <c r="DW38" s="15">
        <f>DV38/DV$46%</f>
        <v/>
      </c>
      <c r="DX38" s="21" t="n"/>
      <c r="DY38" s="21" t="n"/>
      <c r="DZ38" s="21" t="n"/>
      <c r="EA38" s="13" t="n"/>
      <c r="EB38" s="21" t="n"/>
      <c r="EC38" s="21" t="n"/>
      <c r="ED38" s="21" t="n"/>
      <c r="EE38" s="13" t="n"/>
      <c r="EF38" s="21" t="n"/>
      <c r="EG38" s="21" t="n"/>
      <c r="EH38" s="21" t="n"/>
      <c r="EI38" s="13" t="n"/>
      <c r="EJ38" s="14">
        <f>SUM(DX38:EI38)</f>
        <v/>
      </c>
      <c r="EK38" s="15">
        <f>EJ38/EJ$46%</f>
        <v/>
      </c>
      <c r="EL38" s="14" t="n">
        <v>1</v>
      </c>
      <c r="EM38" s="14" t="n">
        <v>1</v>
      </c>
      <c r="EN38" s="14" t="n"/>
      <c r="EO38" s="14" t="n"/>
      <c r="EP38" s="14" t="n"/>
      <c r="EQ38" s="14" t="n"/>
      <c r="ER38" s="14" t="n"/>
      <c r="ES38" s="14" t="n"/>
      <c r="ET38" s="14" t="n"/>
      <c r="EU38" s="14" t="n"/>
      <c r="EV38" s="14" t="n"/>
      <c r="EW38" s="14" t="n"/>
      <c r="EX38" s="14">
        <f>SUM(EL38:EW38)</f>
        <v/>
      </c>
      <c r="EY38" s="15">
        <f>EX38/EX$46%</f>
        <v/>
      </c>
      <c r="EZ38" s="21" t="n"/>
      <c r="FA38" s="21" t="n"/>
      <c r="FB38" s="21" t="n"/>
      <c r="FC38" s="13" t="n"/>
      <c r="FD38" s="21" t="n"/>
      <c r="FE38" s="21" t="n"/>
      <c r="FF38" s="21" t="n"/>
      <c r="FG38" s="13" t="n"/>
      <c r="FH38" s="21" t="n"/>
      <c r="FI38" s="21" t="n"/>
      <c r="FJ38" s="21" t="n"/>
      <c r="FK38" s="13" t="n"/>
      <c r="FL38" s="14">
        <f>SUM(EZ38:FK38)</f>
        <v/>
      </c>
      <c r="FM38" s="15">
        <f>FL38/FL$46%</f>
        <v/>
      </c>
      <c r="FN38" s="21" t="n"/>
      <c r="FO38" s="21" t="n"/>
      <c r="FP38" s="21" t="n"/>
      <c r="FQ38" s="13" t="n"/>
      <c r="FR38" s="21" t="n"/>
      <c r="FS38" s="21" t="n"/>
      <c r="FT38" s="21" t="n"/>
      <c r="FU38" s="13" t="n"/>
      <c r="FV38" s="21" t="n"/>
      <c r="FW38" s="21" t="n"/>
      <c r="FX38" s="21" t="n"/>
      <c r="FY38" s="13" t="n"/>
      <c r="FZ38" s="14">
        <f>SUM(FN38:FY38)</f>
        <v/>
      </c>
      <c r="GA38" s="15">
        <f>FZ38/FZ$46%</f>
        <v/>
      </c>
      <c r="GB38" s="21" t="n"/>
      <c r="GC38" s="21" t="n"/>
      <c r="GD38" s="21" t="n"/>
      <c r="GE38" s="13" t="n"/>
      <c r="GF38" s="21" t="n"/>
      <c r="GG38" s="21" t="n"/>
      <c r="GH38" s="21" t="n"/>
      <c r="GI38" s="13" t="n"/>
      <c r="GJ38" s="21" t="n"/>
      <c r="GK38" s="21" t="n"/>
      <c r="GL38" s="21" t="n"/>
      <c r="GM38" s="13" t="n"/>
      <c r="GN38" s="14">
        <f>SUM(GB38:GM38)</f>
        <v/>
      </c>
      <c r="GO38" s="15">
        <f>GN38/GN$46%</f>
        <v/>
      </c>
      <c r="GP38" s="21" t="n"/>
      <c r="GQ38" s="21" t="n"/>
      <c r="GR38" s="21" t="n"/>
      <c r="GS38" s="13" t="n"/>
      <c r="GT38" s="21" t="n"/>
      <c r="GU38" s="21" t="n"/>
      <c r="GV38" s="21" t="n"/>
      <c r="GW38" s="13" t="n"/>
      <c r="GX38" s="21" t="n"/>
      <c r="GY38" s="21" t="n"/>
      <c r="GZ38" s="21" t="n"/>
      <c r="HA38" s="13" t="n"/>
      <c r="HB38" s="14">
        <f>SUM(GP38:HA38)</f>
        <v/>
      </c>
      <c r="HC38" s="15">
        <f>HB38/HB$46%</f>
        <v/>
      </c>
      <c r="HD38" s="21" t="n"/>
      <c r="HE38" s="21" t="n"/>
      <c r="HF38" s="21" t="n"/>
      <c r="HG38" s="13" t="n"/>
      <c r="HH38" s="21" t="n"/>
      <c r="HI38" s="21" t="n"/>
      <c r="HJ38" s="21" t="n"/>
      <c r="HK38" s="13" t="n"/>
      <c r="HL38" s="21" t="n"/>
      <c r="HM38" s="21" t="n"/>
      <c r="HN38" s="21" t="n"/>
      <c r="HO38" s="13" t="n"/>
      <c r="HP38" s="14">
        <f>SUM(HD38:HO38)</f>
        <v/>
      </c>
      <c r="HQ38" s="15">
        <f>HP38/HP$46%</f>
        <v/>
      </c>
      <c r="HR38" s="21" t="n"/>
      <c r="HS38" s="21" t="n"/>
      <c r="HT38" s="21" t="n"/>
      <c r="HU38" s="13" t="n"/>
      <c r="HV38" s="21" t="n"/>
      <c r="HW38" s="21" t="n"/>
      <c r="HX38" s="21" t="n"/>
      <c r="HY38" s="13" t="n"/>
      <c r="HZ38" s="21" t="n"/>
      <c r="IA38" s="21" t="n"/>
      <c r="IB38" s="21" t="n"/>
      <c r="IC38" s="13" t="n"/>
      <c r="ID38" s="14">
        <f>SUM(HR38:IC38)</f>
        <v/>
      </c>
      <c r="IE38" s="15">
        <f>ID38/ID$46%</f>
        <v/>
      </c>
      <c r="IF38" s="21" t="n"/>
      <c r="IG38" s="21" t="n"/>
      <c r="IH38" s="21" t="n"/>
      <c r="II38" s="13" t="n"/>
      <c r="IJ38" s="21" t="n"/>
      <c r="IK38" s="21" t="n"/>
      <c r="IL38" s="21" t="n"/>
      <c r="IM38" s="13" t="n"/>
      <c r="IN38" s="21" t="n"/>
      <c r="IO38" s="21" t="n"/>
      <c r="IP38" s="21" t="n"/>
      <c r="IQ38" s="13" t="n"/>
      <c r="IR38" s="14">
        <f>SUM(IF38:IQ38)</f>
        <v/>
      </c>
      <c r="IS38" s="15">
        <f>IR38/IR$46%</f>
        <v/>
      </c>
      <c r="IT38" s="21" t="n"/>
      <c r="IU38" s="21" t="n"/>
      <c r="IV38" s="21" t="n"/>
      <c r="IW38" s="13" t="n"/>
      <c r="IX38" s="21" t="n"/>
      <c r="IY38" s="21" t="n"/>
      <c r="IZ38" s="21" t="n"/>
      <c r="JA38" s="13" t="n"/>
      <c r="JB38" s="21" t="n"/>
      <c r="JC38" s="21" t="n"/>
      <c r="JD38" s="21" t="n"/>
      <c r="JE38" s="13" t="n"/>
      <c r="JF38" s="14">
        <f>SUM(IT38:JE38)</f>
        <v/>
      </c>
      <c r="JG38" s="15">
        <f>JF38/JF$46%</f>
        <v/>
      </c>
      <c r="JH38" s="21" t="n"/>
      <c r="JI38" s="21" t="n"/>
      <c r="JJ38" s="21" t="n"/>
      <c r="JK38" s="13" t="n"/>
      <c r="JL38" s="21" t="n"/>
      <c r="JM38" s="21" t="n"/>
      <c r="JN38" s="21" t="n"/>
      <c r="JO38" s="13" t="n"/>
      <c r="JP38" s="21" t="n"/>
      <c r="JQ38" s="21" t="n"/>
      <c r="JR38" s="21" t="n"/>
      <c r="JS38" s="13" t="n"/>
      <c r="JT38" s="14">
        <f>SUM(JH38:JS38)</f>
        <v/>
      </c>
      <c r="JU38" s="15">
        <f>JT38/JT$46%</f>
        <v/>
      </c>
      <c r="JV38" s="21" t="n"/>
      <c r="JW38" s="21" t="n"/>
      <c r="JX38" s="21" t="n"/>
      <c r="JY38" s="13" t="n"/>
      <c r="JZ38" s="21" t="n"/>
      <c r="KA38" s="21" t="n"/>
      <c r="KB38" s="21" t="n"/>
      <c r="KC38" s="13" t="n"/>
      <c r="KD38" s="21" t="n"/>
      <c r="KE38" s="21" t="n"/>
      <c r="KF38" s="21" t="n"/>
      <c r="KG38" s="13" t="n"/>
      <c r="KH38" s="14">
        <f>SUM(JV38:KG38)</f>
        <v/>
      </c>
      <c r="KI38" s="15">
        <f>KH38/KH$46%</f>
        <v/>
      </c>
      <c r="KJ38" s="21" t="n"/>
      <c r="KK38" s="21" t="n"/>
      <c r="KL38" s="21" t="n"/>
      <c r="KM38" s="13" t="n"/>
      <c r="KN38" s="21" t="n"/>
      <c r="KO38" s="21" t="n"/>
      <c r="KP38" s="21" t="n"/>
      <c r="KQ38" s="13" t="n"/>
      <c r="KR38" s="21" t="n"/>
      <c r="KS38" s="21" t="n"/>
      <c r="KT38" s="21" t="n"/>
      <c r="KU38" s="13" t="n"/>
      <c r="KV38" s="14">
        <f>SUM(KJ38:KU38)</f>
        <v/>
      </c>
      <c r="KW38" s="15">
        <f>KV38/KV$46%</f>
        <v/>
      </c>
      <c r="KX38" s="78">
        <f>N38+AB38+AP38+BD38+BR38+CF38+CT38+DH38+DV38+EJ38+EX38+FZ38+GN38+HB38+HP38+ID38+IR38+JF38+KH38+KV38+JT38</f>
        <v/>
      </c>
      <c r="KY38" s="78">
        <f>KX38/KX$46%</f>
        <v/>
      </c>
    </row>
    <row r="39" ht="14.25" customFormat="1" customHeight="1" s="10">
      <c r="A39" s="17" t="inlineStr">
        <is>
          <t>7.1 อายุสินค้าไม่ได้ตามความต้องการของลูกค้า (sensory/micro)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18">
        <f>SUM(B39:M39)</f>
        <v/>
      </c>
      <c r="O39" s="18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18">
        <f>SUM(P39:AA39)</f>
        <v/>
      </c>
      <c r="AC39" s="18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18">
        <f>SUM(AD39:AO39)</f>
        <v/>
      </c>
      <c r="AQ39" s="18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18">
        <f>SUM(AR39:BC39)</f>
        <v/>
      </c>
      <c r="BE39" s="18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18">
        <f>SUM(BF39:BQ39)</f>
        <v/>
      </c>
      <c r="BS39" s="18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18">
        <f>SUM(BT39:CE39)</f>
        <v/>
      </c>
      <c r="CG39" s="18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18">
        <f>SUM(CH39:CS39)</f>
        <v/>
      </c>
      <c r="CU39" s="18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18">
        <f>SUM(CV39:DG39)</f>
        <v/>
      </c>
      <c r="DI39" s="18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18">
        <f>SUM(DJ39:DU39)</f>
        <v/>
      </c>
      <c r="DW39" s="18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18">
        <f>SUM(DX39:EI39)</f>
        <v/>
      </c>
      <c r="EK39" s="18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18">
        <f>SUM(EL39:EW39)</f>
        <v/>
      </c>
      <c r="EY39" s="18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18">
        <f>SUM(EZ39:FK39)</f>
        <v/>
      </c>
      <c r="FM39" s="18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18">
        <f>SUM(FN39:FY39)</f>
        <v/>
      </c>
      <c r="GA39" s="18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18">
        <f>SUM(GB39:GM39)</f>
        <v/>
      </c>
      <c r="GO39" s="18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18">
        <f>SUM(GP39:HA39)</f>
        <v/>
      </c>
      <c r="HC39" s="18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18">
        <f>SUM(HD39:HO39)</f>
        <v/>
      </c>
      <c r="HQ39" s="18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18">
        <f>SUM(HR39:IC39)</f>
        <v/>
      </c>
      <c r="IE39" s="18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18">
        <f>SUM(IF39:IQ39)</f>
        <v/>
      </c>
      <c r="IS39" s="18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18">
        <f>SUM(IT39:JE39)</f>
        <v/>
      </c>
      <c r="JG39" s="18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18">
        <f>SUM(JH39:JS39)</f>
        <v/>
      </c>
      <c r="JU39" s="18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18">
        <f>SUM(JV39:KG39)</f>
        <v/>
      </c>
      <c r="KI39" s="18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18">
        <f>SUM(KJ39:KU39)</f>
        <v/>
      </c>
      <c r="KW39" s="18" t="n"/>
      <c r="KX39" s="783" t="n"/>
      <c r="KY39" s="76" t="n"/>
    </row>
    <row r="40" ht="14.25" customFormat="1" customHeight="1" s="10">
      <c r="A40" s="17" t="inlineStr">
        <is>
          <t>7.2 Hold เพราะสถานการณ์ Covid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18">
        <f>SUM(B40:M40)</f>
        <v/>
      </c>
      <c r="O40" s="18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18">
        <f>SUM(P40:AA40)</f>
        <v/>
      </c>
      <c r="AC40" s="18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18">
        <f>SUM(AD40:AO40)</f>
        <v/>
      </c>
      <c r="AQ40" s="18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18">
        <f>SUM(AR40:BC40)</f>
        <v/>
      </c>
      <c r="BE40" s="18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18">
        <f>SUM(BF40:BQ40)</f>
        <v/>
      </c>
      <c r="BS40" s="18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18">
        <f>SUM(BT40:CE40)</f>
        <v/>
      </c>
      <c r="CG40" s="18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18">
        <f>SUM(CH40:CS40)</f>
        <v/>
      </c>
      <c r="CU40" s="18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18">
        <f>SUM(CV40:DG40)</f>
        <v/>
      </c>
      <c r="DI40" s="18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18">
        <f>SUM(DJ40:DU40)</f>
        <v/>
      </c>
      <c r="DW40" s="18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18">
        <f>SUM(DX40:EI40)</f>
        <v/>
      </c>
      <c r="EK40" s="18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18">
        <f>SUM(EL40:EW40)</f>
        <v/>
      </c>
      <c r="EY40" s="18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18">
        <f>SUM(EZ40:FK40)</f>
        <v/>
      </c>
      <c r="FM40" s="18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18">
        <f>SUM(FN40:FY40)</f>
        <v/>
      </c>
      <c r="GA40" s="18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18">
        <f>SUM(GB40:GM40)</f>
        <v/>
      </c>
      <c r="GO40" s="18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18">
        <f>SUM(GP40:HA40)</f>
        <v/>
      </c>
      <c r="HC40" s="18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18">
        <f>SUM(HD40:HO40)</f>
        <v/>
      </c>
      <c r="HQ40" s="18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18">
        <f>SUM(HR40:IC40)</f>
        <v/>
      </c>
      <c r="IE40" s="18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18">
        <f>SUM(IF40:IQ40)</f>
        <v/>
      </c>
      <c r="IS40" s="18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18">
        <f>SUM(IT40:JE40)</f>
        <v/>
      </c>
      <c r="JG40" s="18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18">
        <f>SUM(JH40:JS40)</f>
        <v/>
      </c>
      <c r="JU40" s="18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18">
        <f>SUM(JV40:KG40)</f>
        <v/>
      </c>
      <c r="KI40" s="18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18">
        <f>SUM(KJ40:KU40)</f>
        <v/>
      </c>
      <c r="KW40" s="18" t="n"/>
      <c r="KX40" s="783" t="n"/>
      <c r="KY40" s="76" t="n"/>
    </row>
    <row r="41" ht="14.25" customFormat="1" customHeight="1" s="10">
      <c r="A41" s="17" t="inlineStr">
        <is>
          <t>7.3 สินค้าเพื่อจัดแสดงสินค้างาน Event ต่างๆ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18">
        <f>SUM(B41:M41)</f>
        <v/>
      </c>
      <c r="O41" s="18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18">
        <f>SUM(P41:AA41)</f>
        <v/>
      </c>
      <c r="AC41" s="18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18">
        <f>SUM(AD41:AO41)</f>
        <v/>
      </c>
      <c r="AQ41" s="18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18">
        <f>SUM(AR41:BC41)</f>
        <v/>
      </c>
      <c r="BE41" s="18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18">
        <f>SUM(BF41:BQ41)</f>
        <v/>
      </c>
      <c r="BS41" s="18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18">
        <f>SUM(BT41:CE41)</f>
        <v/>
      </c>
      <c r="CG41" s="18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18">
        <f>SUM(CH41:CS41)</f>
        <v/>
      </c>
      <c r="CU41" s="18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18">
        <f>SUM(CV41:DG41)</f>
        <v/>
      </c>
      <c r="DI41" s="18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18">
        <f>SUM(DJ41:DU41)</f>
        <v/>
      </c>
      <c r="DW41" s="18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18">
        <f>SUM(DX41:EI41)</f>
        <v/>
      </c>
      <c r="EK41" s="18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18">
        <f>SUM(EL41:EW41)</f>
        <v/>
      </c>
      <c r="EY41" s="18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18">
        <f>SUM(EZ41:FK41)</f>
        <v/>
      </c>
      <c r="FM41" s="18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18">
        <f>SUM(FN41:FY41)</f>
        <v/>
      </c>
      <c r="GA41" s="18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18">
        <f>SUM(GB41:GM41)</f>
        <v/>
      </c>
      <c r="GO41" s="18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18">
        <f>SUM(GP41:HA41)</f>
        <v/>
      </c>
      <c r="HC41" s="18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18">
        <f>SUM(HD41:HO41)</f>
        <v/>
      </c>
      <c r="HQ41" s="18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18">
        <f>SUM(HR41:IC41)</f>
        <v/>
      </c>
      <c r="IE41" s="18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18">
        <f>SUM(IF41:IQ41)</f>
        <v/>
      </c>
      <c r="IS41" s="18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18">
        <f>SUM(IT41:JE41)</f>
        <v/>
      </c>
      <c r="JG41" s="18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18">
        <f>SUM(JH41:JS41)</f>
        <v/>
      </c>
      <c r="JU41" s="18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18">
        <f>SUM(JV41:KG41)</f>
        <v/>
      </c>
      <c r="KI41" s="18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18">
        <f>SUM(KJ41:KU41)</f>
        <v/>
      </c>
      <c r="KW41" s="18" t="n"/>
      <c r="KX41" s="783" t="n"/>
      <c r="KY41" s="76" t="n"/>
    </row>
    <row r="42" ht="14.25" customFormat="1" customHeight="1" s="10">
      <c r="A42" s="22" t="inlineStr">
        <is>
          <t>7.4 ทำส่งซีพีแรมลาดกะบัง ไปประกอบเป็น FG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18">
        <f>SUM(B42:M42)</f>
        <v/>
      </c>
      <c r="O42" s="18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18">
        <f>SUM(P42:AA42)</f>
        <v/>
      </c>
      <c r="AC42" s="18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18">
        <f>SUM(AD42:AO42)</f>
        <v/>
      </c>
      <c r="AQ42" s="18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18">
        <f>SUM(AR42:BC42)</f>
        <v/>
      </c>
      <c r="BE42" s="18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18">
        <f>SUM(BF42:BQ42)</f>
        <v/>
      </c>
      <c r="BS42" s="18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18">
        <f>SUM(BT42:CE42)</f>
        <v/>
      </c>
      <c r="CG42" s="18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18">
        <f>SUM(CH42:CS42)</f>
        <v/>
      </c>
      <c r="CU42" s="18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18">
        <f>SUM(CV42:DG42)</f>
        <v/>
      </c>
      <c r="DI42" s="18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18">
        <f>SUM(DJ42:DU42)</f>
        <v/>
      </c>
      <c r="DW42" s="18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18">
        <f>SUM(DX42:EI42)</f>
        <v/>
      </c>
      <c r="EK42" s="18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18">
        <f>SUM(EL42:EW42)</f>
        <v/>
      </c>
      <c r="EY42" s="18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18">
        <f>SUM(EZ42:FK42)</f>
        <v/>
      </c>
      <c r="FM42" s="18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18">
        <f>SUM(FN42:FY42)</f>
        <v/>
      </c>
      <c r="GA42" s="18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18">
        <f>SUM(GB42:GM42)</f>
        <v/>
      </c>
      <c r="GO42" s="18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18">
        <f>SUM(GP42:HA42)</f>
        <v/>
      </c>
      <c r="HC42" s="18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18">
        <f>SUM(HD42:HO42)</f>
        <v/>
      </c>
      <c r="HQ42" s="18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18">
        <f>SUM(HR42:IC42)</f>
        <v/>
      </c>
      <c r="IE42" s="18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18">
        <f>SUM(IF42:IQ42)</f>
        <v/>
      </c>
      <c r="IS42" s="18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18">
        <f>SUM(IT42:JE42)</f>
        <v/>
      </c>
      <c r="JG42" s="18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18">
        <f>SUM(JH42:JS42)</f>
        <v/>
      </c>
      <c r="JU42" s="18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18">
        <f>SUM(JV42:KG42)</f>
        <v/>
      </c>
      <c r="KI42" s="18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18">
        <f>SUM(KJ42:KU42)</f>
        <v/>
      </c>
      <c r="KW42" s="18" t="n"/>
      <c r="KX42" s="783" t="n"/>
      <c r="KY42" s="76" t="n"/>
    </row>
    <row r="43" ht="14.25" customFormat="1" customHeight="1" s="10">
      <c r="A43" s="22" t="inlineStr">
        <is>
          <t>7.5 ย้ายการผลิตไปลาดกะบัง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18">
        <f>SUM(B43:M43)</f>
        <v/>
      </c>
      <c r="O43" s="18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18">
        <f>SUM(P43:AA43)</f>
        <v/>
      </c>
      <c r="AC43" s="18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18">
        <f>SUM(AD43:AO43)</f>
        <v/>
      </c>
      <c r="AQ43" s="18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18">
        <f>SUM(AR43:BC43)</f>
        <v/>
      </c>
      <c r="BE43" s="18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18">
        <f>SUM(BF43:BQ43)</f>
        <v/>
      </c>
      <c r="BS43" s="18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18">
        <f>SUM(BT43:CE43)</f>
        <v/>
      </c>
      <c r="CG43" s="18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18">
        <f>SUM(CH43:CS43)</f>
        <v/>
      </c>
      <c r="CU43" s="18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18">
        <f>SUM(CV43:DG43)</f>
        <v/>
      </c>
      <c r="DI43" s="18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18">
        <f>SUM(DJ43:DU43)</f>
        <v/>
      </c>
      <c r="DW43" s="18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18">
        <f>SUM(DX43:EI43)</f>
        <v/>
      </c>
      <c r="EK43" s="18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18">
        <f>SUM(EL43:EW43)</f>
        <v/>
      </c>
      <c r="EY43" s="18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18">
        <f>SUM(EZ43:FK43)</f>
        <v/>
      </c>
      <c r="FM43" s="18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18">
        <f>SUM(FN43:FY43)</f>
        <v/>
      </c>
      <c r="GA43" s="18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18">
        <f>SUM(GB43:GM43)</f>
        <v/>
      </c>
      <c r="GO43" s="18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18">
        <f>SUM(GP43:HA43)</f>
        <v/>
      </c>
      <c r="HC43" s="18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18">
        <f>SUM(HD43:HO43)</f>
        <v/>
      </c>
      <c r="HQ43" s="18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18">
        <f>SUM(HR43:IC43)</f>
        <v/>
      </c>
      <c r="IE43" s="18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18">
        <f>SUM(IF43:IQ43)</f>
        <v/>
      </c>
      <c r="IS43" s="18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18">
        <f>SUM(IT43:JE43)</f>
        <v/>
      </c>
      <c r="JG43" s="18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18">
        <f>SUM(JH43:JS43)</f>
        <v/>
      </c>
      <c r="JU43" s="18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18">
        <f>SUM(JV43:KG43)</f>
        <v/>
      </c>
      <c r="KI43" s="18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18">
        <f>SUM(KJ43:KU43)</f>
        <v/>
      </c>
      <c r="KW43" s="18" t="n"/>
      <c r="KX43" s="783" t="n"/>
      <c r="KY43" s="76" t="n"/>
    </row>
    <row r="44" ht="14.25" customFormat="1" customHeight="1" s="10">
      <c r="A44" s="22" t="inlineStr">
        <is>
          <t>7.6 ทางเมอร์มีเปลี่ยนโครงสร้างใหม่ จึงมีการปรับแผนสินค้าใหม่ด้วย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18">
        <f>SUM(B44:M44)</f>
        <v/>
      </c>
      <c r="O44" s="18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18">
        <f>SUM(P44:AA44)</f>
        <v/>
      </c>
      <c r="AC44" s="18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18">
        <f>SUM(AD44:AO44)</f>
        <v/>
      </c>
      <c r="AQ44" s="18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18">
        <f>SUM(AR44:BC44)</f>
        <v/>
      </c>
      <c r="BE44" s="18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18">
        <f>SUM(BF44:BQ44)</f>
        <v/>
      </c>
      <c r="BS44" s="18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18">
        <f>SUM(BT44:CE44)</f>
        <v/>
      </c>
      <c r="CG44" s="18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18">
        <f>SUM(CH44:CS44)</f>
        <v/>
      </c>
      <c r="CU44" s="18" t="n"/>
      <c r="CV44" s="7" t="n">
        <v>6</v>
      </c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18">
        <f>SUM(CV44:DG44)</f>
        <v/>
      </c>
      <c r="DI44" s="18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18">
        <f>SUM(DJ44:DU44)</f>
        <v/>
      </c>
      <c r="DW44" s="18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18">
        <f>SUM(DX44:EI44)</f>
        <v/>
      </c>
      <c r="EK44" s="18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18">
        <f>SUM(EL44:EW44)</f>
        <v/>
      </c>
      <c r="EY44" s="18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18">
        <f>SUM(EZ44:FK44)</f>
        <v/>
      </c>
      <c r="FM44" s="18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18">
        <f>SUM(FN44:FY44)</f>
        <v/>
      </c>
      <c r="GA44" s="18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18">
        <f>SUM(GB44:GM44)</f>
        <v/>
      </c>
      <c r="GO44" s="18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18">
        <f>SUM(GP44:HA44)</f>
        <v/>
      </c>
      <c r="HC44" s="18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18">
        <f>SUM(HD44:HO44)</f>
        <v/>
      </c>
      <c r="HQ44" s="18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18">
        <f>SUM(HR44:IC44)</f>
        <v/>
      </c>
      <c r="IE44" s="18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18">
        <f>SUM(IF44:IQ44)</f>
        <v/>
      </c>
      <c r="IS44" s="18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18">
        <f>SUM(IT44:JE44)</f>
        <v/>
      </c>
      <c r="JG44" s="18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18">
        <f>SUM(JH44:JS44)</f>
        <v/>
      </c>
      <c r="JU44" s="18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18">
        <f>SUM(JV44:KG44)</f>
        <v/>
      </c>
      <c r="KI44" s="18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18">
        <f>SUM(KJ44:KU44)</f>
        <v/>
      </c>
      <c r="KW44" s="18" t="n"/>
      <c r="KX44" s="783" t="n"/>
      <c r="KY44" s="76" t="n"/>
    </row>
    <row r="45" ht="14.25" customFormat="1" customHeight="1" s="10">
      <c r="A45" s="22" t="inlineStr">
        <is>
          <t>7.7 เมอร์แจ้งว่า supplier อีกรายมีสินค้าลักษณะเดียวกัน จึงไม่อยากให้ซ้ำซ้อนกัน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18">
        <f>SUM(B45:M45)</f>
        <v/>
      </c>
      <c r="O45" s="18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18">
        <f>SUM(P45:AA45)</f>
        <v/>
      </c>
      <c r="AC45" s="18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18">
        <f>SUM(AD45:AO45)</f>
        <v/>
      </c>
      <c r="AQ45" s="18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18">
        <f>SUM(AR45:BC45)</f>
        <v/>
      </c>
      <c r="BE45" s="18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18">
        <f>SUM(BF45:BQ45)</f>
        <v/>
      </c>
      <c r="BS45" s="18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18">
        <f>SUM(BT45:CE45)</f>
        <v/>
      </c>
      <c r="CG45" s="18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18">
        <f>SUM(CH45:CS45)</f>
        <v/>
      </c>
      <c r="CU45" s="18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18">
        <f>SUM(CV45:DG45)</f>
        <v/>
      </c>
      <c r="DI45" s="18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18" t="n"/>
      <c r="DW45" s="18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18">
        <f>SUM(DX45:EI45)</f>
        <v/>
      </c>
      <c r="EK45" s="18" t="n"/>
      <c r="EL45" s="7" t="n">
        <v>1</v>
      </c>
      <c r="EM45" s="7" t="n">
        <v>1</v>
      </c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18">
        <f>SUM(EL45:EW45)</f>
        <v/>
      </c>
      <c r="EY45" s="18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18">
        <f>SUM(EZ45:FK45)</f>
        <v/>
      </c>
      <c r="FM45" s="18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18">
        <f>SUM(FN45:FY45)</f>
        <v/>
      </c>
      <c r="GA45" s="18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18">
        <f>SUM(GB45:GM45)</f>
        <v/>
      </c>
      <c r="GO45" s="18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18">
        <f>SUM(GP45:HA45)</f>
        <v/>
      </c>
      <c r="HC45" s="18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18">
        <f>SUM(HD45:HO45)</f>
        <v/>
      </c>
      <c r="HQ45" s="18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18">
        <f>SUM(HR45:IC45)</f>
        <v/>
      </c>
      <c r="IE45" s="18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18">
        <f>SUM(IF45:IQ45)</f>
        <v/>
      </c>
      <c r="IS45" s="18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18">
        <f>SUM(IT45:JE45)</f>
        <v/>
      </c>
      <c r="JG45" s="18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18">
        <f>SUM(JH45:JS45)</f>
        <v/>
      </c>
      <c r="JU45" s="18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18">
        <f>SUM(JV45:KG45)</f>
        <v/>
      </c>
      <c r="KI45" s="18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18">
        <f>SUM(KJ45:KU45)</f>
        <v/>
      </c>
      <c r="KW45" s="18" t="n"/>
      <c r="KX45" s="783" t="n"/>
      <c r="KY45" s="76" t="n"/>
    </row>
    <row r="46" ht="14.25" customFormat="1" customHeight="1" s="10">
      <c r="A46" s="23" t="inlineStr">
        <is>
          <t>Total</t>
        </is>
      </c>
      <c r="B46" s="24">
        <f>B3+B10+B15+B16+B23+B32+B38</f>
        <v/>
      </c>
      <c r="C46" s="24">
        <f>C3+C10+C15+C16+C23+C32+C38</f>
        <v/>
      </c>
      <c r="D46" s="24">
        <f>D3+D10+D15+D16+D23+D32+D38</f>
        <v/>
      </c>
      <c r="E46" s="24">
        <f>E3+E10+E15+E16+E23+E32+E38</f>
        <v/>
      </c>
      <c r="F46" s="24">
        <f>F3+F10+F15+F16+F23+F32+F38</f>
        <v/>
      </c>
      <c r="G46" s="24">
        <f>G3+G10+G15+G16+G23+G32+G38</f>
        <v/>
      </c>
      <c r="H46" s="24">
        <f>H3+H10+H15+H16+H23+H32+H38</f>
        <v/>
      </c>
      <c r="I46" s="24">
        <f>I3+I10+I15+I16+I23+I32+I38</f>
        <v/>
      </c>
      <c r="J46" s="24">
        <f>J3+J10+J15+J16+J23+J32+J38</f>
        <v/>
      </c>
      <c r="K46" s="24">
        <f>K3+K10+K15+K16+K23+K32+K38</f>
        <v/>
      </c>
      <c r="L46" s="24">
        <f>L3+L10+L15+L16+L23+L32+L38</f>
        <v/>
      </c>
      <c r="M46" s="24">
        <f>M3+M10+M15+M16+M23+M32+M38</f>
        <v/>
      </c>
      <c r="N46" s="25">
        <f>N3+N10+N15+N16+N23+N32+N38</f>
        <v/>
      </c>
      <c r="O46" s="26">
        <f>O3+O10+O15+O16+O23+O32+O38</f>
        <v/>
      </c>
      <c r="P46" s="24">
        <f>P3+P10+P15+P16+P23+P32+P38</f>
        <v/>
      </c>
      <c r="Q46" s="24">
        <f>Q3+Q10+Q15+Q16+Q23+Q32+Q38</f>
        <v/>
      </c>
      <c r="R46" s="24">
        <f>R3+R10+R15+R16+R23+R32+R38</f>
        <v/>
      </c>
      <c r="S46" s="24">
        <f>S3+S10+S15+S16+S23+S32+S38</f>
        <v/>
      </c>
      <c r="T46" s="24">
        <f>T3+T10+T15+T16+T23+T32+T38</f>
        <v/>
      </c>
      <c r="U46" s="24">
        <f>U3+U10+U15+U16+U23+U32+U38</f>
        <v/>
      </c>
      <c r="V46" s="24">
        <f>V3+V10+V15+V16+V23+V32+V38</f>
        <v/>
      </c>
      <c r="W46" s="24">
        <f>W3+W10+W15+W16+W23+W32+W38</f>
        <v/>
      </c>
      <c r="X46" s="24">
        <f>X3+X10+X15+X16+X23+X32+X38</f>
        <v/>
      </c>
      <c r="Y46" s="24">
        <f>Y3+Y10+Y15+Y16+Y23+Y32+Y38</f>
        <v/>
      </c>
      <c r="Z46" s="24">
        <f>Z3+Z10+Z15+Z16+Z23+Z32+Z38</f>
        <v/>
      </c>
      <c r="AA46" s="24">
        <f>AA3+AA10+AA15+AA16+AA23+AA32+AA38</f>
        <v/>
      </c>
      <c r="AB46" s="25">
        <f>AB3+AB10+AB15+AB16+AB23+AB32+AB38</f>
        <v/>
      </c>
      <c r="AC46" s="26">
        <f>AC3+AC10+AC15+AC16+AC23+AC32+AC38</f>
        <v/>
      </c>
      <c r="AD46" s="24">
        <f>AD3+AD10+AD15+AD16+AD23+AD32+AD38</f>
        <v/>
      </c>
      <c r="AE46" s="24">
        <f>AE3+AE10+AE15+AE16+AE23+AE32+AE38</f>
        <v/>
      </c>
      <c r="AF46" s="24">
        <f>AF3+AF10+AF15+AF16+AF23+AF32+AF38</f>
        <v/>
      </c>
      <c r="AG46" s="24">
        <f>AG3+AG10+AG15+AG16+AG23+AG32+AG38</f>
        <v/>
      </c>
      <c r="AH46" s="24">
        <f>AH3+AH10+AH15+AH16+AH23+AH32+AH38</f>
        <v/>
      </c>
      <c r="AI46" s="24">
        <f>AI3+AI10+AI15+AI16+AI23+AI32+AI38</f>
        <v/>
      </c>
      <c r="AJ46" s="24">
        <f>AJ3+AJ10+AJ15+AJ16+AJ23+AJ32+AJ38</f>
        <v/>
      </c>
      <c r="AK46" s="24">
        <f>AK3+AK10+AK15+AK16+AK23+AK32+AK38</f>
        <v/>
      </c>
      <c r="AL46" s="24">
        <f>AL3+AL10+AL15+AL16+AL23+AL32+AL38</f>
        <v/>
      </c>
      <c r="AM46" s="24">
        <f>AM3+AM10+AM15+AM16+AM23+AM32+AM38</f>
        <v/>
      </c>
      <c r="AN46" s="24">
        <f>AN3+AN10+AN15+AN16+AN23+AN32+AN38</f>
        <v/>
      </c>
      <c r="AO46" s="24">
        <f>AO3+AO10+AO15+AO16+AO23+AO32+AO38</f>
        <v/>
      </c>
      <c r="AP46" s="25">
        <f>AP3+AP10+AP15+AP16+AP23+AP32+AP38</f>
        <v/>
      </c>
      <c r="AQ46" s="26">
        <f>AQ3+AQ10+AQ15+AQ16+AQ23+AQ32+AQ38</f>
        <v/>
      </c>
      <c r="AR46" s="24">
        <f>AR3+AR10+AR15+AR16+AR23+AR32+AR38</f>
        <v/>
      </c>
      <c r="AS46" s="24">
        <f>AS3+AS10+AS15+AS16+AS23+AS32+AS38</f>
        <v/>
      </c>
      <c r="AT46" s="24">
        <f>AT3+AT10+AT15+AT16+AT23+AT32+AT38</f>
        <v/>
      </c>
      <c r="AU46" s="24">
        <f>AU3+AU10+AU15+AU16+AU23+AU32+AU38</f>
        <v/>
      </c>
      <c r="AV46" s="24">
        <f>AV3+AV10+AV15+AV16+AV23+AV32+AV38</f>
        <v/>
      </c>
      <c r="AW46" s="24">
        <f>AW3+AW10+AW15+AW16+AW23+AW32+AW38</f>
        <v/>
      </c>
      <c r="AX46" s="24">
        <f>AX3+AX10+AX15+AX16+AX23+AX32+AX38</f>
        <v/>
      </c>
      <c r="AY46" s="24">
        <f>AY3+AY10+AY15+AY16+AY23+AY32+AY38</f>
        <v/>
      </c>
      <c r="AZ46" s="24">
        <f>AZ3+AZ10+AZ15+AZ16+AZ23+AZ32+AZ38</f>
        <v/>
      </c>
      <c r="BA46" s="24">
        <f>BA3+BA10+BA15+BA16+BA23+BA32+BA38</f>
        <v/>
      </c>
      <c r="BB46" s="24">
        <f>BB3+BB10+BB15+BB16+BB23+BB32+BB38</f>
        <v/>
      </c>
      <c r="BC46" s="24">
        <f>BC3+BC10+BC15+BC16+BC23+BC32+BC38</f>
        <v/>
      </c>
      <c r="BD46" s="25">
        <f>BD3+BD10+BD15+BD16+BD23+BD32+BD38</f>
        <v/>
      </c>
      <c r="BE46" s="26">
        <f>BE3+BE10+BE15+BE16+BE23+BE32+BE38</f>
        <v/>
      </c>
      <c r="BF46" s="24">
        <f>BF3+BF10+BF15+BF16+BF23+BF32+BF38</f>
        <v/>
      </c>
      <c r="BG46" s="24">
        <f>BG3+BG10+BG15+BG16+BG23+BG32+BG38</f>
        <v/>
      </c>
      <c r="BH46" s="24">
        <f>BH3+BH10+BH15+BH16+BH23+BH32+BH38</f>
        <v/>
      </c>
      <c r="BI46" s="24">
        <f>BI3+BI10+BI15+BI16+BI23+BI32+BI38</f>
        <v/>
      </c>
      <c r="BJ46" s="24">
        <f>BJ3+BJ10+BJ15+BJ16+BJ23+BJ32+BJ38</f>
        <v/>
      </c>
      <c r="BK46" s="24">
        <f>BK3+BK10+BK15+BK16+BK23+BK32+BK38</f>
        <v/>
      </c>
      <c r="BL46" s="24">
        <f>BL3+BL10+BL15+BL16+BL23+BL32+BL38</f>
        <v/>
      </c>
      <c r="BM46" s="24">
        <f>BM3+BM10+BM15+BM16+BM23+BM32+BM38</f>
        <v/>
      </c>
      <c r="BN46" s="24">
        <f>BN3+BN10+BN15+BN16+BN23+BN32+BN38</f>
        <v/>
      </c>
      <c r="BO46" s="24">
        <f>BO3+BO10+BO15+BO16+BO23+BO32+BO38</f>
        <v/>
      </c>
      <c r="BP46" s="24">
        <f>BP3+BP10+BP15+BP16+BP23+BP32+BP38</f>
        <v/>
      </c>
      <c r="BQ46" s="24">
        <f>BQ3+BQ10+BQ15+BQ16+BQ23+BQ32+BQ38</f>
        <v/>
      </c>
      <c r="BR46" s="25">
        <f>BR3+BR10+BR15+BR16+BR23+BR32+BR38</f>
        <v/>
      </c>
      <c r="BS46" s="26">
        <f>BS3+BS10+BS15+BS16+BS23+BS32+BS38</f>
        <v/>
      </c>
      <c r="BT46" s="24">
        <f>BT3+BT10+BT15+BT16+BT23+BT32+BT38</f>
        <v/>
      </c>
      <c r="BU46" s="24">
        <f>BU3+BU10+BU15+BU16+BU23+BU32+BU38</f>
        <v/>
      </c>
      <c r="BV46" s="24">
        <f>BV3+BV10+BV15+BV16+BV23+BV32+BV38</f>
        <v/>
      </c>
      <c r="BW46" s="24">
        <f>BW3+BW10+BW15+BW16+BW23+BW32+BW38</f>
        <v/>
      </c>
      <c r="BX46" s="24">
        <f>BX3+BX10+BX15+BX16+BX23+BX32+BX38</f>
        <v/>
      </c>
      <c r="BY46" s="24">
        <f>BY3+BY10+BY15+BY16+BY23+BY32+BY38</f>
        <v/>
      </c>
      <c r="BZ46" s="24">
        <f>BZ3+BZ10+BZ15+BZ16+BZ23+BZ32+BZ38</f>
        <v/>
      </c>
      <c r="CA46" s="24">
        <f>CA3+CA10+CA15+CA16+CA23+CA32+CA38</f>
        <v/>
      </c>
      <c r="CB46" s="24">
        <f>CB3+CB10+CB15+CB16+CB23+CB32+CB38</f>
        <v/>
      </c>
      <c r="CC46" s="24">
        <f>CC3+CC10+CC15+CC16+CC23+CC32+CC38</f>
        <v/>
      </c>
      <c r="CD46" s="24">
        <f>CD3+CD10+CD15+CD16+CD23+CD32+CD38</f>
        <v/>
      </c>
      <c r="CE46" s="24">
        <f>CE3+CE10+CE15+CE16+CE23+CE32+CE38</f>
        <v/>
      </c>
      <c r="CF46" s="25">
        <f>CF3+CF10+CF15+CF16+CF23+CF32+CF38</f>
        <v/>
      </c>
      <c r="CG46" s="26">
        <f>CG3+CG10+CG15+CG16+CG23+CG32+CG38</f>
        <v/>
      </c>
      <c r="CH46" s="24">
        <f>CH3+CH10+CH15+CH16+CH23+CH32+CH38</f>
        <v/>
      </c>
      <c r="CI46" s="24">
        <f>CI3+CI10+CI15+CI16+CI23+CI32+CI38</f>
        <v/>
      </c>
      <c r="CJ46" s="24">
        <f>CJ3+CJ10+CJ15+CJ16+CJ23+CJ32+CJ38</f>
        <v/>
      </c>
      <c r="CK46" s="24">
        <f>CK3+CK10+CK15+CK16+CK23+CK32+CK38</f>
        <v/>
      </c>
      <c r="CL46" s="24">
        <f>CL3+CL10+CL15+CL16+CL23+CL32+CL38</f>
        <v/>
      </c>
      <c r="CM46" s="24">
        <f>CM3+CM10+CM15+CM16+CM23+CM32+CM38</f>
        <v/>
      </c>
      <c r="CN46" s="24">
        <f>CN3+CN10+CN15+CN16+CN23+CN32+CN38</f>
        <v/>
      </c>
      <c r="CO46" s="24">
        <f>CO3+CO10+CO15+CO16+CO23+CO32+CO38</f>
        <v/>
      </c>
      <c r="CP46" s="24">
        <f>CP3+CP10+CP15+CP16+CP23+CP32+CP38</f>
        <v/>
      </c>
      <c r="CQ46" s="24">
        <f>CQ3+CQ10+CQ15+CQ16+CQ23+CQ32+CQ38</f>
        <v/>
      </c>
      <c r="CR46" s="24">
        <f>CR3+CR10+CR15+CR16+CR23+CR32+CR38</f>
        <v/>
      </c>
      <c r="CS46" s="24">
        <f>CS3+CS10+CS15+CS16+CS23+CS32+CS38</f>
        <v/>
      </c>
      <c r="CT46" s="25">
        <f>CT3+CT10+CT15+CT16+CT23+CT32+CT38</f>
        <v/>
      </c>
      <c r="CU46" s="26">
        <f>CU3+CU10+CU15+CU16+CU23+CU32+CU38</f>
        <v/>
      </c>
      <c r="CV46" s="24">
        <f>CV3+CV10+CV15+CV16+CV23+CV32+CV38</f>
        <v/>
      </c>
      <c r="CW46" s="24">
        <f>CW3+CW10+CW15+CW16+CW23+CW32+CW38</f>
        <v/>
      </c>
      <c r="CX46" s="24">
        <f>CX3+CX10+CX15+CX16+CX23+CX32+CX38</f>
        <v/>
      </c>
      <c r="CY46" s="24">
        <f>CY3+CY10+CY15+CY16+CY23+CY32+CY38</f>
        <v/>
      </c>
      <c r="CZ46" s="24">
        <f>CZ3+CZ10+CZ15+CZ16+CZ23+CZ32+CZ38</f>
        <v/>
      </c>
      <c r="DA46" s="24">
        <f>DA3+DA10+DA15+DA16+DA23+DA32+DA38</f>
        <v/>
      </c>
      <c r="DB46" s="24">
        <f>DB3+DB10+DB15+DB16+DB23+DB32+DB38</f>
        <v/>
      </c>
      <c r="DC46" s="24">
        <f>DC3+DC10+DC15+DC16+DC23+DC32+DC38</f>
        <v/>
      </c>
      <c r="DD46" s="24">
        <f>DD3+DD10+DD15+DD16+DD23+DD32+DD38</f>
        <v/>
      </c>
      <c r="DE46" s="24">
        <f>DE3+DE10+DE15+DE16+DE23+DE32+DE38</f>
        <v/>
      </c>
      <c r="DF46" s="24">
        <f>DF3+DF10+DF15+DF16+DF23+DF32+DF38</f>
        <v/>
      </c>
      <c r="DG46" s="24">
        <f>DG3+DG10+DG15+DG16+DG23+DG32+DG38</f>
        <v/>
      </c>
      <c r="DH46" s="25">
        <f>DH3+DH10+DH15+DH16+DH23+DH32+DH38</f>
        <v/>
      </c>
      <c r="DI46" s="26">
        <f>DI3+DI10+DI15+DI16+DI23+DI32+DI38</f>
        <v/>
      </c>
      <c r="DJ46" s="24">
        <f>DJ3+DJ10+DJ15+DJ16+DJ23+DJ32+DJ38</f>
        <v/>
      </c>
      <c r="DK46" s="24">
        <f>DK3+DK10+DK15+DK16+DK23+DK32+DK38</f>
        <v/>
      </c>
      <c r="DL46" s="24">
        <f>DL3+DL10+DL15+DL16+DL23+DL32+DL38</f>
        <v/>
      </c>
      <c r="DM46" s="24">
        <f>DM3+DM10+DM15+DM16+DM23+DM32+DM38</f>
        <v/>
      </c>
      <c r="DN46" s="24">
        <f>DN3+DN10+DN15+DN16+DN23+DN32+DN38</f>
        <v/>
      </c>
      <c r="DO46" s="24">
        <f>DO3+DO10+DO15+DO16+DO23+DO32+DO38</f>
        <v/>
      </c>
      <c r="DP46" s="24">
        <f>DP3+DP10+DP15+DP16+DP23+DP32+DP38</f>
        <v/>
      </c>
      <c r="DQ46" s="24">
        <f>DQ3+DQ10+DQ15+DQ16+DQ23+DQ32+DQ38</f>
        <v/>
      </c>
      <c r="DR46" s="24">
        <f>DR3+DR10+DR15+DR16+DR23+DR32+DR38</f>
        <v/>
      </c>
      <c r="DS46" s="24">
        <f>DS3+DS10+DS15+DS16+DS23+DS32+DS38</f>
        <v/>
      </c>
      <c r="DT46" s="24">
        <f>DT3+DT10+DT15+DT16+DT23+DT32+DT38</f>
        <v/>
      </c>
      <c r="DU46" s="24">
        <f>DU3+DU10+DU15+DU16+DU23+DU32+DU38</f>
        <v/>
      </c>
      <c r="DV46" s="25">
        <f>DV3+DV10+DV15+DV16+DV23+DV32+DV38</f>
        <v/>
      </c>
      <c r="DW46" s="26">
        <f>DW3+DW10+DW15+DW16+DW23+DW32+DW38</f>
        <v/>
      </c>
      <c r="DX46" s="24">
        <f>DX3+DX10+DX15+DX16+DX23+DX32+DX38</f>
        <v/>
      </c>
      <c r="DY46" s="24">
        <f>DY3+DY10+DY15+DY16+DY23+DY32+DY38</f>
        <v/>
      </c>
      <c r="DZ46" s="24">
        <f>DZ3+DZ10+DZ15+DZ16+DZ23+DZ32+DZ38</f>
        <v/>
      </c>
      <c r="EA46" s="24">
        <f>EA3+EA10+EA15+EA16+EA23+EA32+EA38</f>
        <v/>
      </c>
      <c r="EB46" s="24">
        <f>EB3+EB10+EB15+EB16+EB23+EB32+EB38</f>
        <v/>
      </c>
      <c r="EC46" s="24">
        <f>EC3+EC10+EC15+EC16+EC23+EC32+EC38</f>
        <v/>
      </c>
      <c r="ED46" s="24">
        <f>ED3+ED10+ED15+ED16+ED23+ED32+ED38</f>
        <v/>
      </c>
      <c r="EE46" s="24">
        <f>EE3+EE10+EE15+EE16+EE23+EE32+EE38</f>
        <v/>
      </c>
      <c r="EF46" s="24">
        <f>EF3+EF10+EF15+EF16+EF23+EF32+EF38</f>
        <v/>
      </c>
      <c r="EG46" s="24">
        <f>EG3+EG10+EG15+EG16+EG23+EG32+EG38</f>
        <v/>
      </c>
      <c r="EH46" s="24">
        <f>EH3+EH10+EH15+EH16+EH23+EH32+EH38</f>
        <v/>
      </c>
      <c r="EI46" s="24">
        <f>EI3+EI10+EI15+EI16+EI23+EI32+EI38</f>
        <v/>
      </c>
      <c r="EJ46" s="25">
        <f>EJ3+EJ10+EJ15+EJ16+EJ23+EJ32+EJ38</f>
        <v/>
      </c>
      <c r="EK46" s="26">
        <f>EK3+EK10+EK15+EK16+EK23+EK32+EK38</f>
        <v/>
      </c>
      <c r="EL46" s="24">
        <f>EL3+EL10+EL15+EL16+EL23+EL32+EL38</f>
        <v/>
      </c>
      <c r="EM46" s="24">
        <f>EM3+EM10+EM15+EM16+EM23+EM32+EM38</f>
        <v/>
      </c>
      <c r="EN46" s="24">
        <f>EN3+EN10+EN15+EN16+EN23+EN32+EN38</f>
        <v/>
      </c>
      <c r="EO46" s="24">
        <f>EO3+EO10+EO15+EO16+EO23+EO32+EO38</f>
        <v/>
      </c>
      <c r="EP46" s="24">
        <f>EP3+EP10+EP15+EP16+EP23+EP32+EP38</f>
        <v/>
      </c>
      <c r="EQ46" s="24">
        <f>EQ3+EQ10+EQ15+EQ16+EQ23+EQ32+EQ38</f>
        <v/>
      </c>
      <c r="ER46" s="24">
        <f>ER3+ER10+ER15+ER16+ER23+ER32+ER38</f>
        <v/>
      </c>
      <c r="ES46" s="24">
        <f>ES3+ES10+ES15+ES16+ES23+ES32+ES38</f>
        <v/>
      </c>
      <c r="ET46" s="24">
        <f>ET3+ET10+ET15+ET16+ET23+ET32+ET38</f>
        <v/>
      </c>
      <c r="EU46" s="24">
        <f>EU3+EU10+EU15+EU16+EU23+EU32+EU38</f>
        <v/>
      </c>
      <c r="EV46" s="24">
        <f>EV3+EV10+EV15+EV16+EV23+EV32+EV38</f>
        <v/>
      </c>
      <c r="EW46" s="24">
        <f>EW3+EW10+EW15+EW16+EW23+EW32+EW38</f>
        <v/>
      </c>
      <c r="EX46" s="25">
        <f>EX3+EX10+EX15+EX16+EX23+EX32+EX38</f>
        <v/>
      </c>
      <c r="EY46" s="26">
        <f>EY3+EY10+EY15+EY16+EY23+EY32+EY38</f>
        <v/>
      </c>
      <c r="EZ46" s="24">
        <f>EZ3+EZ10+EZ15+EZ16+EZ23+EZ32+EZ38</f>
        <v/>
      </c>
      <c r="FA46" s="24">
        <f>FA3+FA10+FA15+FA16+FA23+FA32+FA38</f>
        <v/>
      </c>
      <c r="FB46" s="24">
        <f>FB3+FB10+FB15+FB16+FB23+FB32+FB38</f>
        <v/>
      </c>
      <c r="FC46" s="24">
        <f>FC3+FC10+FC15+FC16+FC23+FC32+FC38</f>
        <v/>
      </c>
      <c r="FD46" s="24">
        <f>FD3+FD10+FD15+FD16+FD23+FD32+FD38</f>
        <v/>
      </c>
      <c r="FE46" s="24">
        <f>FE3+FE10+FE15+FE16+FE23+FE32+FE38</f>
        <v/>
      </c>
      <c r="FF46" s="24">
        <f>FF3+FF10+FF15+FF16+FF23+FF32+FF38</f>
        <v/>
      </c>
      <c r="FG46" s="24">
        <f>FG3+FG10+FG15+FG16+FG23+FG32+FG38</f>
        <v/>
      </c>
      <c r="FH46" s="24">
        <f>FH3+FH10+FH15+FH16+FH23+FH32+FH38</f>
        <v/>
      </c>
      <c r="FI46" s="24">
        <f>FI3+FI10+FI15+FI16+FI23+FI32+FI38</f>
        <v/>
      </c>
      <c r="FJ46" s="24">
        <f>FJ3+FJ10+FJ15+FJ16+FJ23+FJ32+FJ38</f>
        <v/>
      </c>
      <c r="FK46" s="24">
        <f>FK3+FK10+FK15+FK16+FK23+FK32+FK38</f>
        <v/>
      </c>
      <c r="FL46" s="25">
        <f>FL3+FL10+FL15+FL16+FL23+FL32+FL38</f>
        <v/>
      </c>
      <c r="FM46" s="26">
        <f>FM3+FM10+FM15+FM16+FM23+FM32+FM38</f>
        <v/>
      </c>
      <c r="FN46" s="24">
        <f>FN3+FN10+FN15+FN16+FN23+FN32+FN38</f>
        <v/>
      </c>
      <c r="FO46" s="24">
        <f>FO3+FO10+FO15+FO16+FO23+FO32+FO38</f>
        <v/>
      </c>
      <c r="FP46" s="24">
        <f>FP3+FP10+FP15+FP16+FP23+FP32+FP38</f>
        <v/>
      </c>
      <c r="FQ46" s="24">
        <f>FQ3+FQ10+FQ15+FQ16+FQ23+FQ32+FQ38</f>
        <v/>
      </c>
      <c r="FR46" s="24">
        <f>FR3+FR10+FR15+FR16+FR23+FR32+FR38</f>
        <v/>
      </c>
      <c r="FS46" s="24">
        <f>FS3+FS10+FS15+FS16+FS23+FS32+FS38</f>
        <v/>
      </c>
      <c r="FT46" s="24">
        <f>FT3+FT10+FT15+FT16+FT23+FT32+FT38</f>
        <v/>
      </c>
      <c r="FU46" s="24">
        <f>FU3+FU10+FU15+FU16+FU23+FU32+FU38</f>
        <v/>
      </c>
      <c r="FV46" s="24">
        <f>FV3+FV10+FV15+FV16+FV23+FV32+FV38</f>
        <v/>
      </c>
      <c r="FW46" s="24">
        <f>FW3+FW10+FW15+FW16+FW23+FW32+FW38</f>
        <v/>
      </c>
      <c r="FX46" s="24">
        <f>FX3+FX10+FX15+FX16+FX23+FX32+FX38</f>
        <v/>
      </c>
      <c r="FY46" s="24">
        <f>FY3+FY10+FY15+FY16+FY23+FY32+FY38</f>
        <v/>
      </c>
      <c r="FZ46" s="25">
        <f>FZ3+FZ10+FZ15+FZ16+FZ23+FZ32+FZ38</f>
        <v/>
      </c>
      <c r="GA46" s="26">
        <f>GA3+GA10+GA15+GA16+GA23+GA32+GA38</f>
        <v/>
      </c>
      <c r="GB46" s="24">
        <f>GB3+GB10+GB15+GB16+GB23+GB32+GB38</f>
        <v/>
      </c>
      <c r="GC46" s="24">
        <f>GC3+GC10+GC15+GC16+GC23+GC32+GC38</f>
        <v/>
      </c>
      <c r="GD46" s="24">
        <f>GD3+GD10+GD15+GD16+GD23+GD32+GD38</f>
        <v/>
      </c>
      <c r="GE46" s="24">
        <f>GE3+GE10+GE15+GE16+GE23+GE32+GE38</f>
        <v/>
      </c>
      <c r="GF46" s="24">
        <f>GF3+GF10+GF15+GF16+GF23+GF32+GF38</f>
        <v/>
      </c>
      <c r="GG46" s="24">
        <f>GG3+GG10+GG15+GG16+GG23+GG32+GG38</f>
        <v/>
      </c>
      <c r="GH46" s="24">
        <f>GH3+GH10+GH15+GH16+GH23+GH32+GH38</f>
        <v/>
      </c>
      <c r="GI46" s="24">
        <f>GI3+GI10+GI15+GI16+GI23+GI32+GI38</f>
        <v/>
      </c>
      <c r="GJ46" s="24">
        <f>GJ3+GJ10+GJ15+GJ16+GJ23+GJ32+GJ38</f>
        <v/>
      </c>
      <c r="GK46" s="24">
        <f>GK3+GK10+GK15+GK16+GK23+GK32+GK38</f>
        <v/>
      </c>
      <c r="GL46" s="24">
        <f>GL3+GL10+GL15+GL16+GL23+GL32+GL38</f>
        <v/>
      </c>
      <c r="GM46" s="24">
        <f>GM3+GM10+GM15+GM16+GM23+GM32+GM38</f>
        <v/>
      </c>
      <c r="GN46" s="25">
        <f>GN3+GN10+GN15+GN16+GN23+GN32+GN38</f>
        <v/>
      </c>
      <c r="GO46" s="26">
        <f>GO3+GO10+GO15+GO16+GO23+GO32+GO38</f>
        <v/>
      </c>
      <c r="GP46" s="24">
        <f>GP3+GP10+GP15+GP16+GP23+GP32+GP38</f>
        <v/>
      </c>
      <c r="GQ46" s="24">
        <f>GQ3+GQ10+GQ15+GQ16+GQ23+GQ32+GQ38</f>
        <v/>
      </c>
      <c r="GR46" s="24">
        <f>GR3+GR10+GR15+GR16+GR23+GR32+GR38</f>
        <v/>
      </c>
      <c r="GS46" s="24">
        <f>GS3+GS10+GS15+GS16+GS23+GS32+GS38</f>
        <v/>
      </c>
      <c r="GT46" s="24">
        <f>GT3+GT10+GT15+GT16+GT23+GT32+GT38</f>
        <v/>
      </c>
      <c r="GU46" s="24">
        <f>GU3+GU10+GU15+GU16+GU23+GU32+GU38</f>
        <v/>
      </c>
      <c r="GV46" s="24">
        <f>GV3+GV10+GV15+GV16+GV23+GV32+GV38</f>
        <v/>
      </c>
      <c r="GW46" s="24">
        <f>GW3+GW10+GW15+GW16+GW23+GW32+GW38</f>
        <v/>
      </c>
      <c r="GX46" s="24">
        <f>GX3+GX10+GX15+GX16+GX23+GX32+GX38</f>
        <v/>
      </c>
      <c r="GY46" s="24">
        <f>GY3+GY10+GY15+GY16+GY23+GY32+GY38</f>
        <v/>
      </c>
      <c r="GZ46" s="24">
        <f>GZ3+GZ10+GZ15+GZ16+GZ23+GZ32+GZ38</f>
        <v/>
      </c>
      <c r="HA46" s="24">
        <f>HA3+HA10+HA15+HA16+HA23+HA32+HA38</f>
        <v/>
      </c>
      <c r="HB46" s="25">
        <f>HB3+HB10+HB15+HB16+HB23+HB32+HB38</f>
        <v/>
      </c>
      <c r="HC46" s="26">
        <f>HC3+HC10+HC15+HC16+HC23+HC32+HC38</f>
        <v/>
      </c>
      <c r="HD46" s="24">
        <f>HD3+HD10+HD15+HD16+HD23+HD32+HD38</f>
        <v/>
      </c>
      <c r="HE46" s="24">
        <f>HE3+HE10+HE15+HE16+HE23+HE32+HE38</f>
        <v/>
      </c>
      <c r="HF46" s="24">
        <f>HF3+HF10+HF15+HF16+HF23+HF32+HF38</f>
        <v/>
      </c>
      <c r="HG46" s="24">
        <f>HG3+HG10+HG15+HG16+HG23+HG32+HG38</f>
        <v/>
      </c>
      <c r="HH46" s="24">
        <f>HH3+HH10+HH15+HH16+HH23+HH32+HH38</f>
        <v/>
      </c>
      <c r="HI46" s="24">
        <f>HI3+HI10+HI15+HI16+HI23+HI32+HI38</f>
        <v/>
      </c>
      <c r="HJ46" s="24">
        <f>HJ3+HJ10+HJ15+HJ16+HJ23+HJ32+HJ38</f>
        <v/>
      </c>
      <c r="HK46" s="24">
        <f>HK3+HK10+HK15+HK16+HK23+HK32+HK38</f>
        <v/>
      </c>
      <c r="HL46" s="24">
        <f>HL3+HL10+HL15+HL16+HL23+HL32+HL38</f>
        <v/>
      </c>
      <c r="HM46" s="24">
        <f>HM3+HM10+HM15+HM16+HM23+HM32+HM38</f>
        <v/>
      </c>
      <c r="HN46" s="24">
        <f>HN3+HN10+HN15+HN16+HN23+HN32+HN38</f>
        <v/>
      </c>
      <c r="HO46" s="24">
        <f>HO3+HO10+HO15+HO16+HO23+HO32+HO38</f>
        <v/>
      </c>
      <c r="HP46" s="25">
        <f>HP3+HP10+HP15+HP16+HP23+HP32+HP38</f>
        <v/>
      </c>
      <c r="HQ46" s="26">
        <f>HQ3+HQ10+HQ15+HQ16+HQ23+HQ32+HQ38</f>
        <v/>
      </c>
      <c r="HR46" s="24">
        <f>HR3+HR10+HR15+HR16+HR23+HR32+HR38</f>
        <v/>
      </c>
      <c r="HS46" s="24">
        <f>HS3+HS10+HS15+HS16+HS23+HS32+HS38</f>
        <v/>
      </c>
      <c r="HT46" s="24">
        <f>HT3+HT10+HT15+HT16+HT23+HT32+HT38</f>
        <v/>
      </c>
      <c r="HU46" s="24">
        <f>HU3+HU10+HU15+HU16+HU23+HU32+HU38</f>
        <v/>
      </c>
      <c r="HV46" s="24">
        <f>HV3+HV10+HV15+HV16+HV23+HV32+HV38</f>
        <v/>
      </c>
      <c r="HW46" s="24">
        <f>HW3+HW10+HW15+HW16+HW23+HW32+HW38</f>
        <v/>
      </c>
      <c r="HX46" s="24">
        <f>HX3+HX10+HX15+HX16+HX23+HX32+HX38</f>
        <v/>
      </c>
      <c r="HY46" s="24">
        <f>HY3+HY10+HY15+HY16+HY23+HY32+HY38</f>
        <v/>
      </c>
      <c r="HZ46" s="24">
        <f>HZ3+HZ10+HZ15+HZ16+HZ23+HZ32+HZ38</f>
        <v/>
      </c>
      <c r="IA46" s="24">
        <f>IA3+IA10+IA15+IA16+IA23+IA32+IA38</f>
        <v/>
      </c>
      <c r="IB46" s="24">
        <f>IB3+IB10+IB15+IB16+IB23+IB32+IB38</f>
        <v/>
      </c>
      <c r="IC46" s="24">
        <f>IC3+IC10+IC15+IC16+IC23+IC32+IC38</f>
        <v/>
      </c>
      <c r="ID46" s="25">
        <f>ID3+ID10+ID15+ID16+ID23+ID32+ID38</f>
        <v/>
      </c>
      <c r="IE46" s="26">
        <f>IE3+IE10+IE15+IE16+IE23+IE32+IE38</f>
        <v/>
      </c>
      <c r="IF46" s="24">
        <f>IF3+IF10+IF15+IF16+IF23+IF32+IF38</f>
        <v/>
      </c>
      <c r="IG46" s="24">
        <f>IG3+IG10+IG15+IG16+IG23+IG32+IG38</f>
        <v/>
      </c>
      <c r="IH46" s="24">
        <f>IH3+IH10+IH15+IH16+IH23+IH32+IH38</f>
        <v/>
      </c>
      <c r="II46" s="24">
        <f>II3+II10+II15+II16+II23+II32+II38</f>
        <v/>
      </c>
      <c r="IJ46" s="24">
        <f>IJ3+IJ10+IJ15+IJ16+IJ23+IJ32+IJ38</f>
        <v/>
      </c>
      <c r="IK46" s="24">
        <f>IK3+IK10+IK15+IK16+IK23+IK32+IK38</f>
        <v/>
      </c>
      <c r="IL46" s="24">
        <f>IL3+IL10+IL15+IL16+IL23+IL32+IL38</f>
        <v/>
      </c>
      <c r="IM46" s="24">
        <f>IM3+IM10+IM15+IM16+IM23+IM32+IM38</f>
        <v/>
      </c>
      <c r="IN46" s="24">
        <f>IN3+IN10+IN15+IN16+IN23+IN32+IN38</f>
        <v/>
      </c>
      <c r="IO46" s="24">
        <f>IO3+IO10+IO15+IO16+IO23+IO32+IO38</f>
        <v/>
      </c>
      <c r="IP46" s="24">
        <f>IP3+IP10+IP15+IP16+IP23+IP32+IP38</f>
        <v/>
      </c>
      <c r="IQ46" s="24">
        <f>IQ3+IQ10+IQ15+IQ16+IQ23+IQ32+IQ38</f>
        <v/>
      </c>
      <c r="IR46" s="25">
        <f>IR3+IR10+IR15+IR16+IR23+IR32+IR38</f>
        <v/>
      </c>
      <c r="IS46" s="26">
        <f>IS3+IS10+IS15+IS16+IS23+IS32+IS38</f>
        <v/>
      </c>
      <c r="IT46" s="24">
        <f>IT3+IT10+IT15+IT16+IT23+IT32+IT38</f>
        <v/>
      </c>
      <c r="IU46" s="24">
        <f>IU3+IU10+IU15+IU16+IU23+IU32+IU38</f>
        <v/>
      </c>
      <c r="IV46" s="24">
        <f>IV3+IV10+IV15+IV16+IV23+IV32+IV38</f>
        <v/>
      </c>
      <c r="IW46" s="24">
        <f>IW3+IW10+IW15+IW16+IW23+IW32+IW38</f>
        <v/>
      </c>
      <c r="IX46" s="24">
        <f>IX3+IX10+IX15+IX16+IX23+IX32+IX38</f>
        <v/>
      </c>
      <c r="IY46" s="24">
        <f>IY3+IY10+IY15+IY16+IY23+IY32+IY38</f>
        <v/>
      </c>
      <c r="IZ46" s="24">
        <f>IZ3+IZ10+IZ15+IZ16+IZ23+IZ32+IZ38</f>
        <v/>
      </c>
      <c r="JA46" s="24">
        <f>JA3+JA10+JA15+JA16+JA23+JA32+JA38</f>
        <v/>
      </c>
      <c r="JB46" s="24">
        <f>JB3+JB10+JB15+JB16+JB23+JB32+JB38</f>
        <v/>
      </c>
      <c r="JC46" s="24">
        <f>JC3+JC10+JC15+JC16+JC23+JC32+JC38</f>
        <v/>
      </c>
      <c r="JD46" s="24">
        <f>JD3+JD10+JD15+JD16+JD23+JD32+JD38</f>
        <v/>
      </c>
      <c r="JE46" s="24">
        <f>JE3+JE10+JE15+JE16+JE23+JE32+JE38</f>
        <v/>
      </c>
      <c r="JF46" s="25">
        <f>JF3+JF10+JF15+JF16+JF23+JF32+JF38</f>
        <v/>
      </c>
      <c r="JG46" s="26">
        <f>JG3+JG10+JG15+JG16+JG23+JG32+JG38</f>
        <v/>
      </c>
      <c r="JH46" s="24">
        <f>JH3+JH10+JH15+JH16+JH23+JH32+JH38</f>
        <v/>
      </c>
      <c r="JI46" s="24">
        <f>JI3+JI10+JI15+JI16+JI23+JI32+JI38</f>
        <v/>
      </c>
      <c r="JJ46" s="24">
        <f>JJ3+JJ10+JJ15+JJ16+JJ23+JJ32+JJ38</f>
        <v/>
      </c>
      <c r="JK46" s="24">
        <f>JK3+JK10+JK15+JK16+JK23+JK32+JK38</f>
        <v/>
      </c>
      <c r="JL46" s="24">
        <f>JL3+JL10+JL15+JL16+JL23+JL32+JL38</f>
        <v/>
      </c>
      <c r="JM46" s="24">
        <f>JM3+JM10+JM15+JM16+JM23+JM32+JM38</f>
        <v/>
      </c>
      <c r="JN46" s="24">
        <f>JN3+JN10+JN15+JN16+JN23+JN32+JN38</f>
        <v/>
      </c>
      <c r="JO46" s="24">
        <f>JO3+JO10+JO15+JO16+JO23+JO32+JO38</f>
        <v/>
      </c>
      <c r="JP46" s="24">
        <f>JP3+JP10+JP15+JP16+JP23+JP32+JP38</f>
        <v/>
      </c>
      <c r="JQ46" s="24">
        <f>JQ3+JQ10+JQ15+JQ16+JQ23+JQ32+JQ38</f>
        <v/>
      </c>
      <c r="JR46" s="24">
        <f>JR3+JR10+JR15+JR16+JR23+JR32+JR38</f>
        <v/>
      </c>
      <c r="JS46" s="24">
        <f>JS3+JS10+JS15+JS16+JS23+JS32+JS38</f>
        <v/>
      </c>
      <c r="JT46" s="25">
        <f>JT3+JT10+JT15+JT16+JT23+JT32+JT38</f>
        <v/>
      </c>
      <c r="JU46" s="26">
        <f>JU3+JU10+JU15+JU16+JU23+JU32+JU38</f>
        <v/>
      </c>
      <c r="JV46" s="24">
        <f>JV3+JV10+JV15+JV16+JV23+JV32+JV38</f>
        <v/>
      </c>
      <c r="JW46" s="24">
        <f>JW3+JW10+JW15+JW16+JW23+JW32+JW38</f>
        <v/>
      </c>
      <c r="JX46" s="24">
        <f>JX3+JX10+JX15+JX16+JX23+JX32+JX38</f>
        <v/>
      </c>
      <c r="JY46" s="24">
        <f>JY3+JY10+JY15+JY16+JY23+JY32+JY38</f>
        <v/>
      </c>
      <c r="JZ46" s="24">
        <f>JZ3+JZ10+JZ15+JZ16+JZ23+JZ32+JZ38</f>
        <v/>
      </c>
      <c r="KA46" s="24">
        <f>KA3+KA10+KA15+KA16+KA23+KA32+KA38</f>
        <v/>
      </c>
      <c r="KB46" s="24">
        <f>KB3+KB10+KB15+KB16+KB23+KB32+KB38</f>
        <v/>
      </c>
      <c r="KC46" s="24">
        <f>KC3+KC10+KC15+KC16+KC23+KC32+KC38</f>
        <v/>
      </c>
      <c r="KD46" s="24">
        <f>KD3+KD10+KD15+KD16+KD23+KD32+KD38</f>
        <v/>
      </c>
      <c r="KE46" s="24">
        <f>KE3+KE10+KE15+KE16+KE23+KE32+KE38</f>
        <v/>
      </c>
      <c r="KF46" s="24">
        <f>KF3+KF10+KF15+KF16+KF23+KF32+KF38</f>
        <v/>
      </c>
      <c r="KG46" s="24">
        <f>KG3+KG10+KG15+KG16+KG23+KG32+KG38</f>
        <v/>
      </c>
      <c r="KH46" s="25">
        <f>KH3+KH10+KH15+KH16+KH23+KH32+KH38</f>
        <v/>
      </c>
      <c r="KI46" s="26">
        <f>KI3+KI10+KI15+KI16+KI23+KI32+KI38</f>
        <v/>
      </c>
      <c r="KJ46" s="24">
        <f>KJ3+KJ10+KJ15+KJ16+KJ23+KJ32+KJ38</f>
        <v/>
      </c>
      <c r="KK46" s="24">
        <f>KK3+KK10+KK15+KK16+KK23+KK32+KK38</f>
        <v/>
      </c>
      <c r="KL46" s="24">
        <f>KL3+KL10+KL15+KL16+KL23+KL32+KL38</f>
        <v/>
      </c>
      <c r="KM46" s="24">
        <f>KM3+KM10+KM15+KM16+KM23+KM32+KM38</f>
        <v/>
      </c>
      <c r="KN46" s="24">
        <f>KN3+KN10+KN15+KN16+KN23+KN32+KN38</f>
        <v/>
      </c>
      <c r="KO46" s="24">
        <f>KO3+KO10+KO15+KO16+KO23+KO32+KO38</f>
        <v/>
      </c>
      <c r="KP46" s="24">
        <f>KP3+KP10+KP15+KP16+KP23+KP32+KP38</f>
        <v/>
      </c>
      <c r="KQ46" s="24">
        <f>KQ3+KQ10+KQ15+KQ16+KQ23+KQ32+KQ38</f>
        <v/>
      </c>
      <c r="KR46" s="24">
        <f>KR3+KR10+KR15+KR16+KR23+KR32+KR38</f>
        <v/>
      </c>
      <c r="KS46" s="24">
        <f>KS3+KS10+KS15+KS16+KS23+KS32+KS38</f>
        <v/>
      </c>
      <c r="KT46" s="24">
        <f>KT3+KT10+KT15+KT16+KT23+KT32+KT38</f>
        <v/>
      </c>
      <c r="KU46" s="24">
        <f>KU3+KU10+KU15+KU16+KU23+KU32+KU38</f>
        <v/>
      </c>
      <c r="KV46" s="25">
        <f>KV3+KV10+KV15+KV16+KV23+KV32+KV38</f>
        <v/>
      </c>
      <c r="KW46" s="26">
        <f>KW3+KW10+KW15+KW16+KW23+KW32+KW38</f>
        <v/>
      </c>
      <c r="KX46" s="78">
        <f>N46+AB46+AP46+BD46+BR46+CF46+CT46+DH46+DV46+EJ46+EX46+FZ46+GN46+HB46+HP46+ID46+IR46+JF46+KH46+KV46+JT46</f>
        <v/>
      </c>
      <c r="KY46" s="80">
        <f>KY3+KY10+KY15+KY16+KY23+KY32+KY38</f>
        <v/>
      </c>
    </row>
    <row r="47">
      <c r="A47" s="27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R47" s="28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  <c r="BB47" s="28" t="n"/>
      <c r="BC47" s="28" t="n"/>
      <c r="BD47" s="28" t="n"/>
      <c r="BE47" s="28" t="n"/>
      <c r="BF47" s="28" t="n"/>
      <c r="BG47" s="28" t="n"/>
      <c r="BH47" s="28" t="n"/>
      <c r="BI47" s="28" t="n"/>
      <c r="BJ47" s="28" t="n"/>
      <c r="BK47" s="28" t="n"/>
      <c r="BL47" s="28" t="n"/>
      <c r="BM47" s="28" t="n"/>
      <c r="BN47" s="28" t="n"/>
      <c r="BO47" s="28" t="n"/>
      <c r="BP47" s="28" t="n"/>
      <c r="BQ47" s="28" t="n"/>
      <c r="BR47" s="28" t="n"/>
      <c r="BS47" s="28" t="n"/>
      <c r="BT47" s="28" t="n"/>
      <c r="BU47" s="28" t="n"/>
      <c r="BV47" s="28" t="n"/>
      <c r="BW47" s="28" t="n"/>
      <c r="BX47" s="28" t="n"/>
      <c r="BY47" s="28" t="n"/>
      <c r="BZ47" s="28" t="n"/>
      <c r="CA47" s="28" t="n"/>
      <c r="CB47" s="28" t="n"/>
      <c r="CC47" s="28" t="n"/>
      <c r="CD47" s="28" t="n"/>
      <c r="CE47" s="28" t="n"/>
      <c r="CF47" s="28" t="n"/>
      <c r="CG47" s="28" t="n"/>
      <c r="CH47" s="28" t="n"/>
      <c r="CI47" s="28" t="n"/>
      <c r="CJ47" s="28" t="n"/>
      <c r="CK47" s="28" t="n"/>
      <c r="CL47" s="28" t="n"/>
      <c r="CM47" s="28" t="n"/>
      <c r="CN47" s="28" t="n"/>
      <c r="CO47" s="28" t="n"/>
      <c r="CP47" s="28" t="n"/>
      <c r="CQ47" s="28" t="n"/>
      <c r="CR47" s="28" t="n"/>
      <c r="CS47" s="28" t="n"/>
      <c r="CT47" s="28" t="n"/>
      <c r="CU47" s="28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J47" s="10" t="n"/>
      <c r="DK47" s="10" t="n"/>
      <c r="DL47" s="10" t="n"/>
      <c r="DM47" s="10" t="n"/>
      <c r="DN47" s="10" t="n"/>
      <c r="DO47" s="10" t="n"/>
      <c r="DP47" s="10" t="n"/>
      <c r="DQ47" s="10" t="n"/>
      <c r="DR47" s="10" t="n"/>
      <c r="DS47" s="10" t="n"/>
      <c r="DT47" s="10" t="n"/>
      <c r="DU47" s="10" t="n"/>
      <c r="DX47" s="10" t="n"/>
      <c r="DY47" s="10" t="n"/>
      <c r="DZ47" s="10" t="n"/>
      <c r="EA47" s="10" t="n"/>
      <c r="EB47" s="10" t="n"/>
      <c r="EC47" s="10" t="n"/>
      <c r="ED47" s="10" t="n"/>
      <c r="EE47" s="10" t="n"/>
      <c r="EF47" s="10" t="n"/>
      <c r="EG47" s="10" t="n"/>
      <c r="EH47" s="10" t="n"/>
      <c r="EI47" s="10" t="n"/>
      <c r="EN47" s="28" t="n"/>
      <c r="EO47" s="28" t="n"/>
      <c r="EP47" s="28" t="n"/>
      <c r="EQ47" s="28" t="n"/>
      <c r="ER47" s="28" t="n"/>
      <c r="ES47" s="28" t="n"/>
      <c r="ET47" s="28" t="n"/>
      <c r="EU47" s="28" t="n"/>
      <c r="EV47" s="28" t="n"/>
      <c r="EW47" s="28" t="n"/>
      <c r="EX47" s="28" t="n"/>
      <c r="EY47" s="28" t="n"/>
      <c r="EZ47" s="28" t="n"/>
      <c r="FA47" s="28" t="n"/>
      <c r="FB47" s="28" t="n"/>
      <c r="FC47" s="28" t="n"/>
      <c r="FD47" s="28" t="n"/>
      <c r="FE47" s="28" t="n"/>
      <c r="FF47" s="28" t="n"/>
      <c r="FG47" s="28" t="n"/>
      <c r="FH47" s="28" t="n"/>
      <c r="FI47" s="28" t="n"/>
      <c r="FJ47" s="28" t="n"/>
      <c r="FK47" s="28" t="n"/>
      <c r="FL47" s="28" t="n"/>
      <c r="FM47" s="28" t="n"/>
      <c r="FN47" s="28" t="n"/>
      <c r="FO47" s="28" t="n"/>
      <c r="FP47" s="28" t="n"/>
      <c r="FQ47" s="28" t="n"/>
      <c r="FR47" s="28" t="n"/>
      <c r="FS47" s="28" t="n"/>
      <c r="FT47" s="28" t="n"/>
      <c r="FU47" s="28" t="n"/>
      <c r="FV47" s="28" t="n"/>
      <c r="FW47" s="28" t="n"/>
      <c r="FX47" s="28" t="n"/>
      <c r="FY47" s="28" t="n"/>
      <c r="FZ47" s="28" t="n"/>
      <c r="GA47" s="28" t="n"/>
      <c r="GB47" s="28" t="n"/>
      <c r="GC47" s="28" t="n"/>
      <c r="GD47" s="28" t="n"/>
      <c r="GE47" s="28" t="n"/>
      <c r="GF47" s="28" t="n"/>
      <c r="GG47" s="28" t="n"/>
      <c r="GH47" s="28" t="n"/>
      <c r="GI47" s="28" t="n"/>
      <c r="GJ47" s="28" t="n"/>
      <c r="GK47" s="28" t="n"/>
      <c r="GL47" s="28" t="n"/>
      <c r="GM47" s="28" t="n"/>
      <c r="GN47" s="28" t="n"/>
      <c r="GO47" s="28" t="n"/>
      <c r="GP47" s="28" t="n"/>
      <c r="GQ47" s="28" t="n"/>
      <c r="GR47" s="28" t="n"/>
      <c r="GS47" s="28" t="n"/>
      <c r="GT47" s="28" t="n"/>
      <c r="GU47" s="28" t="n"/>
      <c r="GV47" s="28" t="n"/>
      <c r="GW47" s="28" t="n"/>
      <c r="GX47" s="28" t="n"/>
      <c r="GY47" s="28" t="n"/>
      <c r="GZ47" s="28" t="n"/>
      <c r="HA47" s="28" t="n"/>
      <c r="HB47" s="28" t="n"/>
      <c r="HC47" s="28" t="n"/>
      <c r="HD47" s="28" t="n"/>
      <c r="HE47" s="28" t="n"/>
      <c r="HF47" s="28" t="n"/>
      <c r="HG47" s="28" t="n"/>
      <c r="HH47" s="28" t="n"/>
      <c r="HI47" s="28" t="n"/>
      <c r="HJ47" s="28" t="n"/>
      <c r="HK47" s="28" t="n"/>
      <c r="HL47" s="28" t="n"/>
      <c r="HM47" s="28" t="n"/>
      <c r="HN47" s="28" t="n"/>
      <c r="HO47" s="28" t="n"/>
      <c r="HP47" s="28" t="n"/>
      <c r="HQ47" s="28" t="n"/>
      <c r="HR47" s="28" t="n"/>
      <c r="HS47" s="28" t="n"/>
      <c r="HT47" s="28" t="n"/>
      <c r="HU47" s="28" t="n"/>
      <c r="HV47" s="28" t="n"/>
      <c r="HW47" s="28" t="n"/>
      <c r="HX47" s="28" t="n"/>
      <c r="HY47" s="28" t="n"/>
      <c r="HZ47" s="28" t="n"/>
      <c r="IA47" s="28" t="n"/>
      <c r="IB47" s="28" t="n"/>
      <c r="IC47" s="28" t="n"/>
      <c r="ID47" s="28" t="n"/>
      <c r="IE47" s="28" t="n"/>
      <c r="IF47" s="28" t="n"/>
      <c r="IG47" s="28" t="n"/>
      <c r="IH47" s="28" t="n"/>
      <c r="II47" s="28" t="n"/>
      <c r="IJ47" s="28" t="n"/>
      <c r="IK47" s="28" t="n"/>
      <c r="IL47" s="28" t="n"/>
      <c r="IM47" s="28" t="n"/>
      <c r="IN47" s="28" t="n"/>
      <c r="IO47" s="28" t="n"/>
      <c r="IP47" s="28" t="n"/>
      <c r="IQ47" s="28" t="n"/>
      <c r="IR47" s="28" t="n"/>
      <c r="IS47" s="28" t="n"/>
      <c r="IT47" s="28" t="n"/>
      <c r="IU47" s="28" t="n"/>
      <c r="IV47" s="28" t="n"/>
      <c r="IW47" s="28" t="n"/>
      <c r="IX47" s="28" t="n"/>
      <c r="IY47" s="28" t="n"/>
      <c r="IZ47" s="28" t="n"/>
      <c r="JA47" s="28" t="n"/>
      <c r="JB47" s="28" t="n"/>
      <c r="JC47" s="28" t="n"/>
      <c r="JD47" s="28" t="n"/>
      <c r="JE47" s="28" t="n"/>
      <c r="JF47" s="28" t="n"/>
      <c r="JG47" s="28" t="n"/>
      <c r="JH47" s="28" t="n"/>
      <c r="JI47" s="28" t="n"/>
      <c r="JJ47" s="28" t="n"/>
      <c r="JK47" s="28" t="n"/>
      <c r="JL47" s="28" t="n"/>
      <c r="JM47" s="28" t="n"/>
      <c r="JN47" s="28" t="n"/>
      <c r="JO47" s="28" t="n"/>
      <c r="JP47" s="28" t="n"/>
      <c r="JQ47" s="28" t="n"/>
      <c r="JR47" s="28" t="n"/>
      <c r="JS47" s="28" t="n"/>
      <c r="JT47" s="28" t="n"/>
      <c r="JU47" s="28" t="n"/>
      <c r="JV47" s="28" t="n"/>
      <c r="JW47" s="28" t="n"/>
      <c r="JX47" s="28" t="n"/>
      <c r="JY47" s="28" t="n"/>
      <c r="JZ47" s="28" t="n"/>
      <c r="KA47" s="28" t="n"/>
      <c r="KB47" s="28" t="n"/>
      <c r="KC47" s="28" t="n"/>
      <c r="KD47" s="28" t="n"/>
      <c r="KE47" s="28" t="n"/>
      <c r="KF47" s="28" t="n"/>
      <c r="KG47" s="28" t="n"/>
      <c r="KH47" s="28" t="n"/>
      <c r="KI47" s="28" t="n"/>
      <c r="KJ47" s="28" t="n"/>
      <c r="KK47" s="28" t="n"/>
      <c r="KL47" s="28" t="n"/>
      <c r="KM47" s="28" t="n"/>
      <c r="KN47" s="28" t="n"/>
      <c r="KO47" s="28" t="n"/>
      <c r="KP47" s="28" t="n"/>
      <c r="KQ47" s="28" t="n"/>
      <c r="KR47" s="28" t="n"/>
      <c r="KS47" s="28" t="n"/>
      <c r="KT47" s="28" t="n"/>
      <c r="KU47" s="28" t="n"/>
      <c r="KV47" s="28" t="n"/>
      <c r="KW47" s="28" t="n"/>
      <c r="KX47" s="28" t="n"/>
    </row>
    <row r="48">
      <c r="A48" s="27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R48" s="28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  <c r="BB48" s="28" t="n"/>
      <c r="BC48" s="28" t="n"/>
      <c r="BD48" s="28" t="n"/>
      <c r="BE48" s="28" t="n"/>
      <c r="BF48" s="28" t="n"/>
      <c r="BG48" s="28" t="n"/>
      <c r="BH48" s="28" t="n"/>
      <c r="BI48" s="28" t="n"/>
      <c r="BJ48" s="28" t="n"/>
      <c r="BK48" s="28" t="n"/>
      <c r="BL48" s="28" t="n"/>
      <c r="BM48" s="28" t="n"/>
      <c r="BN48" s="28" t="n"/>
      <c r="BO48" s="28" t="n"/>
      <c r="BP48" s="28" t="n"/>
      <c r="BQ48" s="28" t="n"/>
      <c r="BR48" s="28" t="n"/>
      <c r="BS48" s="28" t="n"/>
      <c r="BT48" s="28" t="n"/>
      <c r="BU48" s="28" t="n"/>
      <c r="BV48" s="28" t="n"/>
      <c r="BW48" s="28" t="n"/>
      <c r="BX48" s="28" t="n"/>
      <c r="BY48" s="28" t="n"/>
      <c r="BZ48" s="28" t="n"/>
      <c r="CA48" s="28" t="n"/>
      <c r="CB48" s="28" t="n"/>
      <c r="CC48" s="28" t="n"/>
      <c r="CD48" s="28" t="n"/>
      <c r="CE48" s="28" t="n"/>
      <c r="CF48" s="28" t="n"/>
      <c r="CG48" s="28" t="n"/>
      <c r="CH48" s="28" t="n"/>
      <c r="CI48" s="28" t="n"/>
      <c r="CJ48" s="28" t="n"/>
      <c r="CK48" s="28" t="n"/>
      <c r="CL48" s="28" t="n"/>
      <c r="CM48" s="28" t="n"/>
      <c r="CN48" s="28" t="n"/>
      <c r="CO48" s="28" t="n"/>
      <c r="CP48" s="28" t="n"/>
      <c r="CQ48" s="28" t="n"/>
      <c r="CR48" s="28" t="n"/>
      <c r="CS48" s="28" t="n"/>
      <c r="CT48" s="28" t="n"/>
      <c r="CU48" s="28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J48" s="10" t="n"/>
      <c r="DK48" s="10" t="n"/>
      <c r="DL48" s="10" t="n"/>
      <c r="DM48" s="10" t="n"/>
      <c r="DN48" s="10" t="n"/>
      <c r="DO48" s="10" t="n"/>
      <c r="DP48" s="10" t="n"/>
      <c r="DQ48" s="10" t="n"/>
      <c r="DR48" s="10" t="n"/>
      <c r="DS48" s="10" t="n"/>
      <c r="DT48" s="10" t="n"/>
      <c r="DU48" s="10" t="n"/>
      <c r="DX48" s="10" t="n"/>
      <c r="DY48" s="10" t="n"/>
      <c r="DZ48" s="10" t="n"/>
      <c r="EA48" s="10" t="n"/>
      <c r="EB48" s="10" t="n"/>
      <c r="EC48" s="10" t="n"/>
      <c r="ED48" s="10" t="n"/>
      <c r="EE48" s="10" t="n"/>
      <c r="EF48" s="10" t="n"/>
      <c r="EG48" s="10" t="n"/>
      <c r="EH48" s="10" t="n"/>
      <c r="EI48" s="10" t="n"/>
      <c r="EN48" s="28" t="n"/>
      <c r="EO48" s="28" t="n"/>
      <c r="EP48" s="28" t="n"/>
      <c r="EQ48" s="28" t="n"/>
      <c r="ER48" s="28" t="n"/>
      <c r="ES48" s="28" t="n"/>
      <c r="ET48" s="28" t="n"/>
      <c r="EU48" s="28" t="n"/>
      <c r="EV48" s="28" t="n"/>
      <c r="EW48" s="28" t="n"/>
      <c r="EX48" s="28" t="n"/>
      <c r="EY48" s="28" t="n"/>
      <c r="EZ48" s="28" t="n"/>
      <c r="FA48" s="28" t="n"/>
      <c r="FB48" s="28" t="n"/>
      <c r="FC48" s="28" t="n"/>
      <c r="FD48" s="28" t="n"/>
      <c r="FE48" s="28" t="n"/>
      <c r="FF48" s="28" t="n"/>
      <c r="FG48" s="28" t="n"/>
      <c r="FH48" s="28" t="n"/>
      <c r="FI48" s="28" t="n"/>
      <c r="FJ48" s="28" t="n"/>
      <c r="FK48" s="28" t="n"/>
      <c r="FL48" s="28" t="n"/>
      <c r="FM48" s="28" t="n"/>
      <c r="FN48" s="28" t="n"/>
      <c r="FO48" s="28" t="n"/>
      <c r="FP48" s="28" t="n"/>
      <c r="FQ48" s="28" t="n"/>
      <c r="FR48" s="28" t="n"/>
      <c r="FS48" s="28" t="n"/>
      <c r="FT48" s="28" t="n"/>
      <c r="FU48" s="28" t="n"/>
      <c r="FV48" s="28" t="n"/>
      <c r="FW48" s="28" t="n"/>
      <c r="FX48" s="28" t="n"/>
      <c r="FY48" s="28" t="n"/>
      <c r="FZ48" s="28" t="n"/>
      <c r="GA48" s="28" t="n"/>
      <c r="GB48" s="28" t="n"/>
      <c r="GC48" s="28" t="n"/>
      <c r="GD48" s="28" t="n"/>
      <c r="GE48" s="28" t="n"/>
      <c r="GF48" s="28" t="n"/>
      <c r="GG48" s="28" t="n"/>
      <c r="GH48" s="28" t="n"/>
      <c r="GI48" s="28" t="n"/>
      <c r="GJ48" s="28" t="n"/>
      <c r="GK48" s="28" t="n"/>
      <c r="GL48" s="28" t="n"/>
      <c r="GM48" s="28" t="n"/>
      <c r="GN48" s="28" t="n"/>
      <c r="GO48" s="28" t="n"/>
      <c r="GP48" s="28" t="n"/>
      <c r="GQ48" s="28" t="n"/>
      <c r="GR48" s="28" t="n"/>
      <c r="GS48" s="28" t="n"/>
      <c r="GT48" s="28" t="n"/>
      <c r="GU48" s="28" t="n"/>
      <c r="GV48" s="28" t="n"/>
      <c r="GW48" s="28" t="n"/>
      <c r="GX48" s="28" t="n"/>
      <c r="GY48" s="28" t="n"/>
      <c r="GZ48" s="28" t="n"/>
      <c r="HA48" s="28" t="n"/>
      <c r="HB48" s="28" t="n"/>
      <c r="HC48" s="28" t="n"/>
      <c r="HD48" s="28" t="n"/>
      <c r="HE48" s="28" t="n"/>
      <c r="HF48" s="28" t="n"/>
      <c r="HG48" s="28" t="n"/>
      <c r="HH48" s="28" t="n"/>
      <c r="HI48" s="28" t="n"/>
      <c r="HJ48" s="28" t="n"/>
      <c r="HK48" s="28" t="n"/>
      <c r="HL48" s="28" t="n"/>
      <c r="HM48" s="28" t="n"/>
      <c r="HN48" s="28" t="n"/>
      <c r="HO48" s="28" t="n"/>
      <c r="HP48" s="28" t="n"/>
      <c r="HQ48" s="28" t="n"/>
      <c r="HR48" s="28" t="n"/>
      <c r="HS48" s="28" t="n"/>
      <c r="HT48" s="28" t="n"/>
      <c r="HU48" s="28" t="n"/>
      <c r="HV48" s="28" t="n"/>
      <c r="HW48" s="28" t="n"/>
      <c r="HX48" s="28" t="n"/>
      <c r="HY48" s="28" t="n"/>
      <c r="HZ48" s="28" t="n"/>
      <c r="IA48" s="28" t="n"/>
      <c r="IB48" s="28" t="n"/>
      <c r="IC48" s="28" t="n"/>
      <c r="ID48" s="28" t="n"/>
      <c r="IE48" s="28" t="n"/>
      <c r="IF48" s="28" t="n"/>
      <c r="IG48" s="28" t="n"/>
      <c r="IH48" s="28" t="n"/>
      <c r="II48" s="28" t="n"/>
      <c r="IJ48" s="28" t="n"/>
      <c r="IK48" s="28" t="n"/>
      <c r="IL48" s="28" t="n"/>
      <c r="IM48" s="28" t="n"/>
      <c r="IN48" s="28" t="n"/>
      <c r="IO48" s="28" t="n"/>
      <c r="IP48" s="28" t="n"/>
      <c r="IQ48" s="28" t="n"/>
      <c r="IR48" s="28" t="n"/>
      <c r="IS48" s="28" t="n"/>
      <c r="IT48" s="28" t="n"/>
      <c r="IU48" s="28" t="n"/>
      <c r="IV48" s="28" t="n"/>
      <c r="IW48" s="28" t="n"/>
      <c r="IX48" s="28" t="n"/>
      <c r="IY48" s="28" t="n"/>
      <c r="IZ48" s="28" t="n"/>
      <c r="JA48" s="28" t="n"/>
      <c r="JB48" s="28" t="n"/>
      <c r="JC48" s="28" t="n"/>
      <c r="JD48" s="28" t="n"/>
      <c r="JE48" s="28" t="n"/>
      <c r="JF48" s="28" t="n"/>
      <c r="JG48" s="28" t="n"/>
      <c r="JH48" s="28" t="n"/>
      <c r="JI48" s="28" t="n"/>
      <c r="JJ48" s="28" t="n"/>
      <c r="JK48" s="28" t="n"/>
      <c r="JL48" s="28" t="n"/>
      <c r="JM48" s="28" t="n"/>
      <c r="JN48" s="28" t="n"/>
      <c r="JO48" s="28" t="n"/>
      <c r="JP48" s="28" t="n"/>
      <c r="JQ48" s="28" t="n"/>
      <c r="JR48" s="28" t="n"/>
      <c r="JS48" s="28" t="n"/>
      <c r="JT48" s="28" t="n"/>
      <c r="JU48" s="28" t="n"/>
      <c r="JV48" s="28" t="n"/>
      <c r="JW48" s="28" t="n"/>
      <c r="JX48" s="28" t="n"/>
      <c r="JY48" s="28" t="n"/>
      <c r="JZ48" s="28" t="n"/>
      <c r="KA48" s="28" t="n"/>
      <c r="KB48" s="28" t="n"/>
      <c r="KC48" s="28" t="n"/>
      <c r="KD48" s="28" t="n"/>
      <c r="KE48" s="28" t="n"/>
      <c r="KF48" s="28" t="n"/>
      <c r="KG48" s="28" t="n"/>
      <c r="KH48" s="28" t="n"/>
      <c r="KI48" s="28" t="n"/>
      <c r="KJ48" s="28" t="n"/>
      <c r="KK48" s="28" t="n"/>
      <c r="KL48" s="28" t="n"/>
      <c r="KM48" s="28" t="n"/>
      <c r="KN48" s="28" t="n"/>
      <c r="KO48" s="28" t="n"/>
      <c r="KP48" s="28" t="n"/>
      <c r="KQ48" s="28" t="n"/>
      <c r="KR48" s="28" t="n"/>
      <c r="KS48" s="28" t="n"/>
      <c r="KT48" s="28" t="n"/>
      <c r="KU48" s="28" t="n"/>
      <c r="KV48" s="28" t="n"/>
      <c r="KW48" s="28" t="n"/>
      <c r="KX48" s="28" t="n"/>
    </row>
    <row r="49">
      <c r="A49" s="27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n"/>
      <c r="AN49" s="10" t="n"/>
      <c r="AO49" s="10" t="n"/>
      <c r="AR49" s="28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  <c r="BB49" s="28" t="n"/>
      <c r="BC49" s="28" t="n"/>
      <c r="BD49" s="28" t="n"/>
      <c r="BE49" s="28" t="n"/>
      <c r="BF49" s="28" t="n"/>
      <c r="BG49" s="28" t="n"/>
      <c r="BH49" s="28" t="n"/>
      <c r="BI49" s="28" t="n"/>
      <c r="BJ49" s="28" t="n"/>
      <c r="BK49" s="28" t="n"/>
      <c r="BL49" s="28" t="n"/>
      <c r="BM49" s="28" t="n"/>
      <c r="BN49" s="28" t="n"/>
      <c r="BO49" s="28" t="n"/>
      <c r="BP49" s="28" t="n"/>
      <c r="BQ49" s="28" t="n"/>
      <c r="BR49" s="28" t="n"/>
      <c r="BS49" s="28" t="n"/>
      <c r="BT49" s="28" t="n"/>
      <c r="BU49" s="28" t="n"/>
      <c r="BV49" s="28" t="n"/>
      <c r="BW49" s="28" t="n"/>
      <c r="BX49" s="28" t="n"/>
      <c r="BY49" s="28" t="n"/>
      <c r="BZ49" s="28" t="n"/>
      <c r="CA49" s="28" t="n"/>
      <c r="CB49" s="28" t="n"/>
      <c r="CC49" s="28" t="n"/>
      <c r="CD49" s="28" t="n"/>
      <c r="CE49" s="28" t="n"/>
      <c r="CF49" s="28" t="n"/>
      <c r="CG49" s="28" t="n"/>
      <c r="CH49" s="28" t="n"/>
      <c r="CI49" s="28" t="n"/>
      <c r="CJ49" s="28" t="n"/>
      <c r="CK49" s="28" t="n"/>
      <c r="CL49" s="28" t="n"/>
      <c r="CM49" s="28" t="n"/>
      <c r="CN49" s="28" t="n"/>
      <c r="CO49" s="28" t="n"/>
      <c r="CP49" s="28" t="n"/>
      <c r="CQ49" s="28" t="n"/>
      <c r="CR49" s="28" t="n"/>
      <c r="CS49" s="28" t="n"/>
      <c r="CT49" s="28" t="n"/>
      <c r="CU49" s="28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J49" s="10" t="n"/>
      <c r="DK49" s="10" t="n"/>
      <c r="DL49" s="10" t="n"/>
      <c r="DM49" s="10" t="n"/>
      <c r="DN49" s="10" t="n"/>
      <c r="DO49" s="10" t="n"/>
      <c r="DP49" s="10" t="n"/>
      <c r="DQ49" s="10" t="n"/>
      <c r="DR49" s="10" t="n"/>
      <c r="DS49" s="10" t="n"/>
      <c r="DT49" s="10" t="n"/>
      <c r="DU49" s="10" t="n"/>
      <c r="DX49" s="10" t="n"/>
      <c r="DY49" s="10" t="n"/>
      <c r="DZ49" s="10" t="n"/>
      <c r="EA49" s="10" t="n"/>
      <c r="EB49" s="10" t="n"/>
      <c r="EC49" s="10" t="n"/>
      <c r="ED49" s="10" t="n"/>
      <c r="EE49" s="10" t="n"/>
      <c r="EF49" s="10" t="n"/>
      <c r="EG49" s="10" t="n"/>
      <c r="EH49" s="10" t="n"/>
      <c r="EI49" s="10" t="n"/>
      <c r="EN49" s="28" t="n"/>
      <c r="EO49" s="28" t="n"/>
      <c r="EP49" s="28" t="n"/>
      <c r="EQ49" s="28" t="n"/>
      <c r="ER49" s="28" t="n"/>
      <c r="ES49" s="28" t="n"/>
      <c r="ET49" s="28" t="n"/>
      <c r="EU49" s="28" t="n"/>
      <c r="EV49" s="28" t="n"/>
      <c r="EW49" s="28" t="n"/>
      <c r="EX49" s="28" t="n"/>
      <c r="EY49" s="28" t="n"/>
      <c r="EZ49" s="28" t="n"/>
      <c r="FA49" s="28" t="n"/>
      <c r="FB49" s="28" t="n"/>
      <c r="FC49" s="28" t="n"/>
      <c r="FD49" s="28" t="n"/>
      <c r="FE49" s="28" t="n"/>
      <c r="FF49" s="28" t="n"/>
      <c r="FG49" s="28" t="n"/>
      <c r="FH49" s="28" t="n"/>
      <c r="FI49" s="28" t="n"/>
      <c r="FJ49" s="28" t="n"/>
      <c r="FK49" s="28" t="n"/>
      <c r="FL49" s="28" t="n"/>
      <c r="FM49" s="28" t="n"/>
      <c r="FN49" s="28" t="n"/>
      <c r="FO49" s="28" t="n"/>
      <c r="FP49" s="28" t="n"/>
      <c r="FQ49" s="28" t="n"/>
      <c r="FR49" s="28" t="n"/>
      <c r="FS49" s="28" t="n"/>
      <c r="FT49" s="28" t="n"/>
      <c r="FU49" s="28" t="n"/>
      <c r="FV49" s="28" t="n"/>
      <c r="FW49" s="28" t="n"/>
      <c r="FX49" s="28" t="n"/>
      <c r="FY49" s="28" t="n"/>
      <c r="FZ49" s="28" t="n"/>
      <c r="GA49" s="28" t="n"/>
      <c r="GB49" s="28" t="n"/>
      <c r="GC49" s="28" t="n"/>
      <c r="GD49" s="28" t="n"/>
      <c r="GE49" s="28" t="n"/>
      <c r="GF49" s="28" t="n"/>
      <c r="GG49" s="28" t="n"/>
      <c r="GH49" s="28" t="n"/>
      <c r="GI49" s="28" t="n"/>
      <c r="GJ49" s="28" t="n"/>
      <c r="GK49" s="28" t="n"/>
      <c r="GL49" s="28" t="n"/>
      <c r="GM49" s="28" t="n"/>
      <c r="GN49" s="28" t="n"/>
      <c r="GO49" s="28" t="n"/>
      <c r="GP49" s="28" t="n"/>
      <c r="GQ49" s="28" t="n"/>
      <c r="GR49" s="28" t="n"/>
      <c r="GS49" s="28" t="n"/>
      <c r="GT49" s="28" t="n"/>
      <c r="GU49" s="28" t="n"/>
      <c r="GV49" s="28" t="n"/>
      <c r="GW49" s="28" t="n"/>
      <c r="GX49" s="28" t="n"/>
      <c r="GY49" s="28" t="n"/>
      <c r="GZ49" s="28" t="n"/>
      <c r="HA49" s="28" t="n"/>
      <c r="HB49" s="28" t="n"/>
      <c r="HC49" s="28" t="n"/>
      <c r="HD49" s="28" t="n"/>
      <c r="HE49" s="28" t="n"/>
      <c r="HF49" s="28" t="n"/>
      <c r="HG49" s="28" t="n"/>
      <c r="HH49" s="28" t="n"/>
      <c r="HI49" s="28" t="n"/>
      <c r="HJ49" s="28" t="n"/>
      <c r="HK49" s="28" t="n"/>
      <c r="HL49" s="28" t="n"/>
      <c r="HM49" s="28" t="n"/>
      <c r="HN49" s="28" t="n"/>
      <c r="HO49" s="28" t="n"/>
      <c r="HP49" s="28" t="n"/>
      <c r="HQ49" s="28" t="n"/>
      <c r="HR49" s="28" t="n"/>
      <c r="HS49" s="28" t="n"/>
      <c r="HT49" s="28" t="n"/>
      <c r="HU49" s="28" t="n"/>
      <c r="HV49" s="28" t="n"/>
      <c r="HW49" s="28" t="n"/>
      <c r="HX49" s="28" t="n"/>
      <c r="HY49" s="28" t="n"/>
      <c r="HZ49" s="28" t="n"/>
      <c r="IA49" s="28" t="n"/>
      <c r="IB49" s="28" t="n"/>
      <c r="IC49" s="28" t="n"/>
      <c r="ID49" s="28" t="n"/>
      <c r="IE49" s="28" t="n"/>
      <c r="IF49" s="28" t="n"/>
      <c r="IG49" s="28" t="n"/>
      <c r="IH49" s="28" t="n"/>
      <c r="II49" s="28" t="n"/>
      <c r="IJ49" s="28" t="n"/>
      <c r="IK49" s="28" t="n"/>
      <c r="IL49" s="28" t="n"/>
      <c r="IM49" s="28" t="n"/>
      <c r="IN49" s="28" t="n"/>
      <c r="IO49" s="28" t="n"/>
      <c r="IP49" s="28" t="n"/>
      <c r="IQ49" s="28" t="n"/>
      <c r="IR49" s="28" t="n"/>
      <c r="IS49" s="28" t="n"/>
      <c r="IT49" s="28" t="n"/>
      <c r="IU49" s="28" t="n"/>
      <c r="IV49" s="28" t="n"/>
      <c r="IW49" s="28" t="n"/>
      <c r="IX49" s="28" t="n"/>
      <c r="IY49" s="28" t="n"/>
      <c r="IZ49" s="28" t="n"/>
      <c r="JA49" s="28" t="n"/>
      <c r="JB49" s="28" t="n"/>
      <c r="JC49" s="28" t="n"/>
      <c r="JD49" s="28" t="n"/>
      <c r="JE49" s="28" t="n"/>
      <c r="JF49" s="28" t="n"/>
      <c r="JG49" s="28" t="n"/>
      <c r="JH49" s="28" t="n"/>
      <c r="JI49" s="28" t="n"/>
      <c r="JJ49" s="28" t="n"/>
      <c r="JK49" s="28" t="n"/>
      <c r="JL49" s="28" t="n"/>
      <c r="JM49" s="28" t="n"/>
      <c r="JN49" s="28" t="n"/>
      <c r="JO49" s="28" t="n"/>
      <c r="JP49" s="28" t="n"/>
      <c r="JQ49" s="28" t="n"/>
      <c r="JR49" s="28" t="n"/>
      <c r="JS49" s="28" t="n"/>
      <c r="JT49" s="28" t="n"/>
      <c r="JU49" s="28" t="n"/>
      <c r="JV49" s="28" t="n"/>
      <c r="JW49" s="28" t="n"/>
      <c r="JX49" s="28" t="n"/>
      <c r="JY49" s="28" t="n"/>
      <c r="JZ49" s="28" t="n"/>
      <c r="KA49" s="28" t="n"/>
      <c r="KB49" s="28" t="n"/>
      <c r="KC49" s="28" t="n"/>
      <c r="KD49" s="28" t="n"/>
      <c r="KE49" s="28" t="n"/>
      <c r="KF49" s="28" t="n"/>
      <c r="KG49" s="28" t="n"/>
      <c r="KH49" s="28" t="n"/>
      <c r="KI49" s="28" t="n"/>
      <c r="KJ49" s="28" t="n"/>
      <c r="KK49" s="28" t="n"/>
      <c r="KL49" s="28" t="n"/>
      <c r="KM49" s="28" t="n"/>
      <c r="KN49" s="28" t="n"/>
      <c r="KO49" s="28" t="n"/>
      <c r="KP49" s="28" t="n"/>
      <c r="KQ49" s="28" t="n"/>
      <c r="KR49" s="28" t="n"/>
      <c r="KS49" s="28" t="n"/>
      <c r="KT49" s="28" t="n"/>
      <c r="KU49" s="28" t="n"/>
      <c r="KV49" s="28" t="n"/>
      <c r="KW49" s="28" t="n"/>
      <c r="KX49" s="28" t="n"/>
    </row>
    <row r="50">
      <c r="A50" s="27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n"/>
      <c r="AN50" s="10" t="n"/>
      <c r="AO50" s="10" t="n"/>
      <c r="AR50" s="28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  <c r="BB50" s="28" t="n"/>
      <c r="BC50" s="28" t="n"/>
      <c r="BD50" s="28" t="n"/>
      <c r="BE50" s="28" t="n"/>
      <c r="BF50" s="28" t="n"/>
      <c r="BG50" s="28" t="n"/>
      <c r="BH50" s="28" t="n"/>
      <c r="BI50" s="28" t="n"/>
      <c r="BJ50" s="28" t="n"/>
      <c r="BK50" s="28" t="n"/>
      <c r="BL50" s="28" t="n"/>
      <c r="BM50" s="28" t="n"/>
      <c r="BN50" s="28" t="n"/>
      <c r="BO50" s="28" t="n"/>
      <c r="BP50" s="28" t="n"/>
      <c r="BQ50" s="28" t="n"/>
      <c r="BR50" s="28" t="n"/>
      <c r="BS50" s="28" t="n"/>
      <c r="BT50" s="28" t="n"/>
      <c r="BU50" s="28" t="n"/>
      <c r="BV50" s="28" t="n"/>
      <c r="BW50" s="28" t="n"/>
      <c r="BX50" s="28" t="n"/>
      <c r="BY50" s="28" t="n"/>
      <c r="BZ50" s="28" t="n"/>
      <c r="CA50" s="28" t="n"/>
      <c r="CB50" s="28" t="n"/>
      <c r="CC50" s="28" t="n"/>
      <c r="CD50" s="28" t="n"/>
      <c r="CE50" s="28" t="n"/>
      <c r="CF50" s="28" t="n"/>
      <c r="CG50" s="28" t="n"/>
      <c r="CH50" s="28" t="n"/>
      <c r="CI50" s="28" t="n"/>
      <c r="CJ50" s="28" t="n"/>
      <c r="CK50" s="28" t="n"/>
      <c r="CL50" s="28" t="n"/>
      <c r="CM50" s="28" t="n"/>
      <c r="CN50" s="28" t="n"/>
      <c r="CO50" s="28" t="n"/>
      <c r="CP50" s="28" t="n"/>
      <c r="CQ50" s="28" t="n"/>
      <c r="CR50" s="28" t="n"/>
      <c r="CS50" s="28" t="n"/>
      <c r="CT50" s="28" t="n"/>
      <c r="CU50" s="28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J50" s="10" t="n"/>
      <c r="DK50" s="10" t="n"/>
      <c r="DL50" s="10" t="n"/>
      <c r="DM50" s="10" t="n"/>
      <c r="DN50" s="10" t="n"/>
      <c r="DO50" s="10" t="n"/>
      <c r="DP50" s="10" t="n"/>
      <c r="DQ50" s="10" t="n"/>
      <c r="DR50" s="10" t="n"/>
      <c r="DS50" s="10" t="n"/>
      <c r="DT50" s="10" t="n"/>
      <c r="DU50" s="10" t="n"/>
      <c r="DX50" s="10" t="n"/>
      <c r="DY50" s="10" t="n"/>
      <c r="DZ50" s="10" t="n"/>
      <c r="EA50" s="10" t="n"/>
      <c r="EB50" s="10" t="n"/>
      <c r="EC50" s="10" t="n"/>
      <c r="ED50" s="10" t="n"/>
      <c r="EE50" s="10" t="n"/>
      <c r="EF50" s="10" t="n"/>
      <c r="EG50" s="10" t="n"/>
      <c r="EH50" s="10" t="n"/>
      <c r="EI50" s="10" t="n"/>
      <c r="EN50" s="28" t="n"/>
      <c r="EO50" s="28" t="n"/>
      <c r="EP50" s="28" t="n"/>
      <c r="EQ50" s="28" t="n"/>
      <c r="ER50" s="28" t="n"/>
      <c r="ES50" s="28" t="n"/>
      <c r="ET50" s="28" t="n"/>
      <c r="EU50" s="28" t="n"/>
      <c r="EV50" s="28" t="n"/>
      <c r="EW50" s="28" t="n"/>
      <c r="EX50" s="28" t="n"/>
      <c r="EY50" s="28" t="n"/>
      <c r="EZ50" s="28" t="n"/>
      <c r="FA50" s="28" t="n"/>
      <c r="FB50" s="28" t="n"/>
      <c r="FC50" s="28" t="n"/>
      <c r="FD50" s="28" t="n"/>
      <c r="FE50" s="28" t="n"/>
      <c r="FF50" s="28" t="n"/>
      <c r="FG50" s="28" t="n"/>
      <c r="FH50" s="28" t="n"/>
      <c r="FI50" s="28" t="n"/>
      <c r="FJ50" s="28" t="n"/>
      <c r="FK50" s="28" t="n"/>
      <c r="FL50" s="28" t="n"/>
      <c r="FM50" s="28" t="n"/>
      <c r="FN50" s="28" t="n"/>
      <c r="FO50" s="28" t="n"/>
      <c r="FP50" s="28" t="n"/>
      <c r="FQ50" s="28" t="n"/>
      <c r="FR50" s="28" t="n"/>
      <c r="FS50" s="28" t="n"/>
      <c r="FT50" s="28" t="n"/>
      <c r="FU50" s="28" t="n"/>
      <c r="FV50" s="28" t="n"/>
      <c r="FW50" s="28" t="n"/>
      <c r="FX50" s="28" t="n"/>
      <c r="FY50" s="28" t="n"/>
      <c r="FZ50" s="28" t="n"/>
      <c r="GA50" s="28" t="n"/>
      <c r="GB50" s="28" t="n"/>
      <c r="GC50" s="28" t="n"/>
      <c r="GD50" s="28" t="n"/>
      <c r="GE50" s="28" t="n"/>
      <c r="GF50" s="28" t="n"/>
      <c r="GG50" s="28" t="n"/>
      <c r="GH50" s="28" t="n"/>
      <c r="GI50" s="28" t="n"/>
      <c r="GJ50" s="28" t="n"/>
      <c r="GK50" s="28" t="n"/>
      <c r="GL50" s="28" t="n"/>
      <c r="GM50" s="28" t="n"/>
      <c r="GN50" s="28" t="n"/>
      <c r="GO50" s="28" t="n"/>
      <c r="GP50" s="28" t="n"/>
      <c r="GQ50" s="28" t="n"/>
      <c r="GR50" s="28" t="n"/>
      <c r="GS50" s="28" t="n"/>
      <c r="GT50" s="28" t="n"/>
      <c r="GU50" s="28" t="n"/>
      <c r="GV50" s="28" t="n"/>
      <c r="GW50" s="28" t="n"/>
      <c r="GX50" s="28" t="n"/>
      <c r="GY50" s="28" t="n"/>
      <c r="GZ50" s="28" t="n"/>
      <c r="HA50" s="28" t="n"/>
      <c r="HB50" s="28" t="n"/>
      <c r="HC50" s="28" t="n"/>
      <c r="HD50" s="28" t="n"/>
      <c r="HE50" s="28" t="n"/>
      <c r="HF50" s="28" t="n"/>
      <c r="HG50" s="28" t="n"/>
      <c r="HH50" s="28" t="n"/>
      <c r="HI50" s="28" t="n"/>
      <c r="HJ50" s="28" t="n"/>
      <c r="HK50" s="28" t="n"/>
      <c r="HL50" s="28" t="n"/>
      <c r="HM50" s="28" t="n"/>
      <c r="HN50" s="28" t="n"/>
      <c r="HO50" s="28" t="n"/>
      <c r="HP50" s="28" t="n"/>
      <c r="HQ50" s="28" t="n"/>
      <c r="HR50" s="28" t="n"/>
      <c r="HS50" s="28" t="n"/>
      <c r="HT50" s="28" t="n"/>
      <c r="HU50" s="28" t="n"/>
      <c r="HV50" s="28" t="n"/>
      <c r="HW50" s="28" t="n"/>
      <c r="HX50" s="28" t="n"/>
      <c r="HY50" s="28" t="n"/>
      <c r="HZ50" s="28" t="n"/>
      <c r="IA50" s="28" t="n"/>
      <c r="IB50" s="28" t="n"/>
      <c r="IC50" s="28" t="n"/>
      <c r="ID50" s="28" t="n"/>
      <c r="IE50" s="28" t="n"/>
      <c r="IF50" s="28" t="n"/>
      <c r="IG50" s="28" t="n"/>
      <c r="IH50" s="28" t="n"/>
      <c r="II50" s="28" t="n"/>
      <c r="IJ50" s="28" t="n"/>
      <c r="IK50" s="28" t="n"/>
      <c r="IL50" s="28" t="n"/>
      <c r="IM50" s="28" t="n"/>
      <c r="IN50" s="28" t="n"/>
      <c r="IO50" s="28" t="n"/>
      <c r="IP50" s="28" t="n"/>
      <c r="IQ50" s="28" t="n"/>
      <c r="IR50" s="28" t="n"/>
      <c r="IS50" s="28" t="n"/>
      <c r="IT50" s="28" t="n"/>
      <c r="IU50" s="28" t="n"/>
      <c r="IV50" s="28" t="n"/>
      <c r="IW50" s="28" t="n"/>
      <c r="IX50" s="28" t="n"/>
      <c r="IY50" s="28" t="n"/>
      <c r="IZ50" s="28" t="n"/>
      <c r="JA50" s="28" t="n"/>
      <c r="JB50" s="28" t="n"/>
      <c r="JC50" s="28" t="n"/>
      <c r="JD50" s="28" t="n"/>
      <c r="JE50" s="28" t="n"/>
      <c r="JF50" s="28" t="n"/>
      <c r="JG50" s="28" t="n"/>
      <c r="JH50" s="28" t="n"/>
      <c r="JI50" s="28" t="n"/>
      <c r="JJ50" s="28" t="n"/>
      <c r="JK50" s="28" t="n"/>
      <c r="JL50" s="28" t="n"/>
      <c r="JM50" s="28" t="n"/>
      <c r="JN50" s="28" t="n"/>
      <c r="JO50" s="28" t="n"/>
      <c r="JP50" s="28" t="n"/>
      <c r="JQ50" s="28" t="n"/>
      <c r="JR50" s="28" t="n"/>
      <c r="JS50" s="28" t="n"/>
      <c r="JT50" s="28" t="n"/>
      <c r="JU50" s="28" t="n"/>
      <c r="JV50" s="28" t="n"/>
      <c r="JW50" s="28" t="n"/>
      <c r="JX50" s="28" t="n"/>
      <c r="JY50" s="28" t="n"/>
      <c r="JZ50" s="28" t="n"/>
      <c r="KA50" s="28" t="n"/>
      <c r="KB50" s="28" t="n"/>
      <c r="KC50" s="28" t="n"/>
      <c r="KD50" s="28" t="n"/>
      <c r="KE50" s="28" t="n"/>
      <c r="KF50" s="28" t="n"/>
      <c r="KG50" s="28" t="n"/>
      <c r="KH50" s="28" t="n"/>
      <c r="KI50" s="28" t="n"/>
      <c r="KJ50" s="28" t="n"/>
      <c r="KK50" s="28" t="n"/>
      <c r="KL50" s="28" t="n"/>
      <c r="KM50" s="28" t="n"/>
      <c r="KN50" s="28" t="n"/>
      <c r="KO50" s="28" t="n"/>
      <c r="KP50" s="28" t="n"/>
      <c r="KQ50" s="28" t="n"/>
      <c r="KR50" s="28" t="n"/>
      <c r="KS50" s="28" t="n"/>
      <c r="KT50" s="28" t="n"/>
      <c r="KU50" s="28" t="n"/>
      <c r="KV50" s="28" t="n"/>
      <c r="KW50" s="28" t="n"/>
      <c r="KX50" s="28" t="n"/>
    </row>
    <row r="51">
      <c r="A51" s="27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n"/>
      <c r="AN51" s="10" t="n"/>
      <c r="AO51" s="10" t="n"/>
      <c r="AR51" s="28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  <c r="BB51" s="28" t="n"/>
      <c r="BC51" s="28" t="n"/>
      <c r="BD51" s="28" t="n"/>
      <c r="BE51" s="28" t="n"/>
      <c r="BF51" s="28" t="n"/>
      <c r="BG51" s="28" t="n"/>
      <c r="BH51" s="28" t="n"/>
      <c r="BI51" s="28" t="n"/>
      <c r="BJ51" s="28" t="n"/>
      <c r="BK51" s="28" t="n"/>
      <c r="BL51" s="28" t="n"/>
      <c r="BM51" s="28" t="n"/>
      <c r="BN51" s="28" t="n"/>
      <c r="BO51" s="28" t="n"/>
      <c r="BP51" s="28" t="n"/>
      <c r="BQ51" s="28" t="n"/>
      <c r="BR51" s="28" t="n"/>
      <c r="BS51" s="28" t="n"/>
      <c r="BT51" s="28" t="n"/>
      <c r="BU51" s="28" t="n"/>
      <c r="BV51" s="28" t="n"/>
      <c r="BW51" s="28" t="n"/>
      <c r="BX51" s="28" t="n"/>
      <c r="BY51" s="28" t="n"/>
      <c r="BZ51" s="28" t="n"/>
      <c r="CA51" s="28" t="n"/>
      <c r="CB51" s="28" t="n"/>
      <c r="CC51" s="28" t="n"/>
      <c r="CD51" s="28" t="n"/>
      <c r="CE51" s="28" t="n"/>
      <c r="CF51" s="28" t="n"/>
      <c r="CG51" s="28" t="n"/>
      <c r="CH51" s="28" t="n"/>
      <c r="CI51" s="28" t="n"/>
      <c r="CJ51" s="28" t="n"/>
      <c r="CK51" s="28" t="n"/>
      <c r="CL51" s="28" t="n"/>
      <c r="CM51" s="28" t="n"/>
      <c r="CN51" s="28" t="n"/>
      <c r="CO51" s="28" t="n"/>
      <c r="CP51" s="28" t="n"/>
      <c r="CQ51" s="28" t="n"/>
      <c r="CR51" s="28" t="n"/>
      <c r="CS51" s="28" t="n"/>
      <c r="CT51" s="28" t="n"/>
      <c r="CU51" s="28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J51" s="10" t="n"/>
      <c r="DK51" s="10" t="n"/>
      <c r="DL51" s="10" t="n"/>
      <c r="DM51" s="10" t="n"/>
      <c r="DN51" s="10" t="n"/>
      <c r="DO51" s="10" t="n"/>
      <c r="DP51" s="10" t="n"/>
      <c r="DQ51" s="10" t="n"/>
      <c r="DR51" s="10" t="n"/>
      <c r="DS51" s="10" t="n"/>
      <c r="DT51" s="10" t="n"/>
      <c r="DU51" s="10" t="n"/>
      <c r="DX51" s="10" t="n"/>
      <c r="DY51" s="10" t="n"/>
      <c r="DZ51" s="10" t="n"/>
      <c r="EA51" s="10" t="n"/>
      <c r="EB51" s="10" t="n"/>
      <c r="EC51" s="10" t="n"/>
      <c r="ED51" s="10" t="n"/>
      <c r="EE51" s="10" t="n"/>
      <c r="EF51" s="10" t="n"/>
      <c r="EG51" s="10" t="n"/>
      <c r="EH51" s="10" t="n"/>
      <c r="EI51" s="10" t="n"/>
      <c r="EN51" s="28" t="n"/>
      <c r="EO51" s="28" t="n"/>
      <c r="EP51" s="28" t="n"/>
      <c r="EQ51" s="28" t="n"/>
      <c r="ER51" s="28" t="n"/>
      <c r="ES51" s="28" t="n"/>
      <c r="ET51" s="28" t="n"/>
      <c r="EU51" s="28" t="n"/>
      <c r="EV51" s="28" t="n"/>
      <c r="EW51" s="28" t="n"/>
      <c r="EX51" s="28" t="n"/>
      <c r="EY51" s="28" t="n"/>
      <c r="EZ51" s="28" t="n"/>
      <c r="FA51" s="28" t="n"/>
      <c r="FB51" s="28" t="n"/>
      <c r="FC51" s="28" t="n"/>
      <c r="FD51" s="28" t="n"/>
      <c r="FE51" s="28" t="n"/>
      <c r="FF51" s="28" t="n"/>
      <c r="FG51" s="28" t="n"/>
      <c r="FH51" s="28" t="n"/>
      <c r="FI51" s="28" t="n"/>
      <c r="FJ51" s="28" t="n"/>
      <c r="FK51" s="28" t="n"/>
      <c r="FL51" s="28" t="n"/>
      <c r="FM51" s="28" t="n"/>
      <c r="FN51" s="28" t="n"/>
      <c r="FO51" s="28" t="n"/>
      <c r="FP51" s="28" t="n"/>
      <c r="FQ51" s="28" t="n"/>
      <c r="FR51" s="28" t="n"/>
      <c r="FS51" s="28" t="n"/>
      <c r="FT51" s="28" t="n"/>
      <c r="FU51" s="28" t="n"/>
      <c r="FV51" s="28" t="n"/>
      <c r="FW51" s="28" t="n"/>
      <c r="FX51" s="28" t="n"/>
      <c r="FY51" s="28" t="n"/>
      <c r="FZ51" s="28" t="n"/>
      <c r="GA51" s="28" t="n"/>
      <c r="GB51" s="28" t="n"/>
      <c r="GC51" s="28" t="n"/>
      <c r="GD51" s="28" t="n"/>
      <c r="GE51" s="28" t="n"/>
      <c r="GF51" s="28" t="n"/>
      <c r="GG51" s="28" t="n"/>
      <c r="GH51" s="28" t="n"/>
      <c r="GI51" s="28" t="n"/>
      <c r="GJ51" s="28" t="n"/>
      <c r="GK51" s="28" t="n"/>
      <c r="GL51" s="28" t="n"/>
      <c r="GM51" s="28" t="n"/>
      <c r="GN51" s="28" t="n"/>
      <c r="GO51" s="28" t="n"/>
      <c r="GP51" s="28" t="n"/>
      <c r="GQ51" s="28" t="n"/>
      <c r="GR51" s="28" t="n"/>
      <c r="GS51" s="28" t="n"/>
      <c r="GT51" s="28" t="n"/>
      <c r="GU51" s="28" t="n"/>
      <c r="GV51" s="28" t="n"/>
      <c r="GW51" s="28" t="n"/>
      <c r="GX51" s="28" t="n"/>
      <c r="GY51" s="28" t="n"/>
      <c r="GZ51" s="28" t="n"/>
      <c r="HA51" s="28" t="n"/>
      <c r="HB51" s="28" t="n"/>
      <c r="HC51" s="28" t="n"/>
      <c r="HD51" s="28" t="n"/>
      <c r="HE51" s="28" t="n"/>
      <c r="HF51" s="28" t="n"/>
      <c r="HG51" s="28" t="n"/>
      <c r="HH51" s="28" t="n"/>
      <c r="HI51" s="28" t="n"/>
      <c r="HJ51" s="28" t="n"/>
      <c r="HK51" s="28" t="n"/>
      <c r="HL51" s="28" t="n"/>
      <c r="HM51" s="28" t="n"/>
      <c r="HN51" s="28" t="n"/>
      <c r="HO51" s="28" t="n"/>
      <c r="HP51" s="28" t="n"/>
      <c r="HQ51" s="28" t="n"/>
      <c r="HR51" s="28" t="n"/>
      <c r="HS51" s="28" t="n"/>
      <c r="HT51" s="28" t="n"/>
      <c r="HU51" s="28" t="n"/>
      <c r="HV51" s="28" t="n"/>
      <c r="HW51" s="28" t="n"/>
      <c r="HX51" s="28" t="n"/>
      <c r="HY51" s="28" t="n"/>
      <c r="HZ51" s="28" t="n"/>
      <c r="IA51" s="28" t="n"/>
      <c r="IB51" s="28" t="n"/>
      <c r="IC51" s="28" t="n"/>
      <c r="ID51" s="28" t="n"/>
      <c r="IE51" s="28" t="n"/>
      <c r="IF51" s="28" t="n"/>
      <c r="IG51" s="28" t="n"/>
      <c r="IH51" s="28" t="n"/>
      <c r="II51" s="28" t="n"/>
      <c r="IJ51" s="28" t="n"/>
      <c r="IK51" s="28" t="n"/>
      <c r="IL51" s="28" t="n"/>
      <c r="IM51" s="28" t="n"/>
      <c r="IN51" s="28" t="n"/>
      <c r="IO51" s="28" t="n"/>
      <c r="IP51" s="28" t="n"/>
      <c r="IQ51" s="28" t="n"/>
      <c r="IR51" s="28" t="n"/>
      <c r="IS51" s="28" t="n"/>
      <c r="IT51" s="28" t="n"/>
      <c r="IU51" s="28" t="n"/>
      <c r="IV51" s="28" t="n"/>
      <c r="IW51" s="28" t="n"/>
      <c r="IX51" s="28" t="n"/>
      <c r="IY51" s="28" t="n"/>
      <c r="IZ51" s="28" t="n"/>
      <c r="JA51" s="28" t="n"/>
      <c r="JB51" s="28" t="n"/>
      <c r="JC51" s="28" t="n"/>
      <c r="JD51" s="28" t="n"/>
      <c r="JE51" s="28" t="n"/>
      <c r="JF51" s="28" t="n"/>
      <c r="JG51" s="28" t="n"/>
      <c r="JH51" s="28" t="n"/>
      <c r="JI51" s="28" t="n"/>
      <c r="JJ51" s="28" t="n"/>
      <c r="JK51" s="28" t="n"/>
      <c r="JL51" s="28" t="n"/>
      <c r="JM51" s="28" t="n"/>
      <c r="JN51" s="28" t="n"/>
      <c r="JO51" s="28" t="n"/>
      <c r="JP51" s="28" t="n"/>
      <c r="JQ51" s="28" t="n"/>
      <c r="JR51" s="28" t="n"/>
      <c r="JS51" s="28" t="n"/>
      <c r="JT51" s="28" t="n"/>
      <c r="JU51" s="28" t="n"/>
      <c r="JV51" s="28" t="n"/>
      <c r="JW51" s="28" t="n"/>
      <c r="JX51" s="28" t="n"/>
      <c r="JY51" s="28" t="n"/>
      <c r="JZ51" s="28" t="n"/>
      <c r="KA51" s="28" t="n"/>
      <c r="KB51" s="28" t="n"/>
      <c r="KC51" s="28" t="n"/>
      <c r="KD51" s="28" t="n"/>
      <c r="KE51" s="28" t="n"/>
      <c r="KF51" s="28" t="n"/>
      <c r="KG51" s="28" t="n"/>
      <c r="KH51" s="28" t="n"/>
      <c r="KI51" s="28" t="n"/>
      <c r="KJ51" s="28" t="n"/>
      <c r="KK51" s="28" t="n"/>
      <c r="KL51" s="28" t="n"/>
      <c r="KM51" s="28" t="n"/>
      <c r="KN51" s="28" t="n"/>
      <c r="KO51" s="28" t="n"/>
      <c r="KP51" s="28" t="n"/>
      <c r="KQ51" s="28" t="n"/>
      <c r="KR51" s="28" t="n"/>
      <c r="KS51" s="28" t="n"/>
      <c r="KT51" s="28" t="n"/>
      <c r="KU51" s="28" t="n"/>
      <c r="KV51" s="28" t="n"/>
      <c r="KW51" s="28" t="n"/>
      <c r="KX51" s="28" t="n"/>
    </row>
  </sheetData>
  <mergeCells count="24">
    <mergeCell ref="IF1:IS1"/>
    <mergeCell ref="BF1:BS1"/>
    <mergeCell ref="HD1:HQ1"/>
    <mergeCell ref="P1:AC1"/>
    <mergeCell ref="HR1:IE1"/>
    <mergeCell ref="FN1:GA1"/>
    <mergeCell ref="DX1:EK1"/>
    <mergeCell ref="AD1:AQ1"/>
    <mergeCell ref="GB1:GO1"/>
    <mergeCell ref="CH1:CU1"/>
    <mergeCell ref="B1:O1"/>
    <mergeCell ref="CV1:DI1"/>
    <mergeCell ref="EL1:EY1"/>
    <mergeCell ref="JV1:KI1"/>
    <mergeCell ref="EZ1:FM1"/>
    <mergeCell ref="GP1:HC1"/>
    <mergeCell ref="KJ1:KW1"/>
    <mergeCell ref="JH1:JU1"/>
    <mergeCell ref="DJ1:DW1"/>
    <mergeCell ref="KX1:KY1"/>
    <mergeCell ref="IT1:JG1"/>
    <mergeCell ref="BT1:CG1"/>
    <mergeCell ref="AR1:BE1"/>
    <mergeCell ref="A1:A2"/>
  </mergeCell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theme="9" tint="0.5999938962981048"/>
    <outlinePr summaryBelow="1" summaryRight="1"/>
    <pageSetUpPr fitToPage="1"/>
  </sheetPr>
  <dimension ref="A1:N56"/>
  <sheetViews>
    <sheetView zoomScale="130" zoomScaleNormal="130" zoomScaleSheetLayoutView="85" workbookViewId="0">
      <pane xSplit="3" ySplit="3" topLeftCell="D38" activePane="bottomRight" state="frozen"/>
      <selection pane="bottomRight" activeCell="Q40" sqref="Q40"/>
      <selection pane="bottomLeft" activeCell="A4" sqref="A4"/>
      <selection pane="topRight" activeCell="B1" sqref="B1"/>
    </sheetView>
  </sheetViews>
  <sheetFormatPr baseColWidth="8" defaultRowHeight="14.25"/>
  <cols>
    <col width="25.25" customWidth="1" min="1" max="1"/>
    <col width="7.875" bestFit="1" customWidth="1" min="2" max="2"/>
    <col width="7.875" customWidth="1" min="3" max="3"/>
    <col width="8.875" customWidth="1" min="4" max="7"/>
    <col width="8.5" customWidth="1" min="8" max="9"/>
    <col width="7.75" customWidth="1" min="10" max="10"/>
    <col width="10.625" customWidth="1" min="11" max="11"/>
    <col width="10.25" customWidth="1" min="12" max="12"/>
    <col width="10.125" customWidth="1" min="13" max="13"/>
    <col width="12" customWidth="1" min="14" max="14"/>
  </cols>
  <sheetData>
    <row r="1" ht="17.45" customHeight="1">
      <c r="A1" s="82" t="inlineStr">
        <is>
          <t>จำนวนสินค้าใหม่ RTE ปี 2026</t>
        </is>
      </c>
      <c r="B1" s="82" t="n"/>
      <c r="C1" s="82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</row>
    <row r="2" ht="17.45" customHeight="1">
      <c r="A2" s="82" t="n"/>
      <c r="B2" s="82" t="n"/>
      <c r="C2" s="82" t="n"/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</row>
    <row r="3" ht="53.25" customFormat="1" customHeight="1" s="224">
      <c r="A3" s="354" t="inlineStr">
        <is>
          <t>กลุ่มสินค้า</t>
        </is>
      </c>
      <c r="B3" s="355" t="inlineStr">
        <is>
          <t>ตลาด</t>
        </is>
      </c>
      <c r="C3" s="355" t="inlineStr">
        <is>
          <t>เดือน</t>
        </is>
      </c>
      <c r="D3" s="869" t="inlineStr">
        <is>
          <t>แผนขาย New</t>
        </is>
      </c>
      <c r="E3" s="870" t="inlineStr">
        <is>
          <t>แผนขาย Level Up</t>
        </is>
      </c>
      <c r="F3" s="871" t="inlineStr">
        <is>
          <t>ขายได้ New</t>
        </is>
      </c>
      <c r="G3" s="872" t="inlineStr">
        <is>
          <t>ขายได้ Level Up</t>
        </is>
      </c>
      <c r="H3" s="873" t="inlineStr">
        <is>
          <t>หยุดพัฒนาตามแผน</t>
        </is>
      </c>
      <c r="I3" s="874" t="inlineStr">
        <is>
          <t>หยุดพัฒนานอกแผน</t>
        </is>
      </c>
      <c r="J3" s="875" t="inlineStr">
        <is>
          <t>พัฒนาทั้งหมด</t>
        </is>
      </c>
      <c r="K3" s="876" t="inlineStr">
        <is>
          <t>พัฒนาทั้งหมด
(ไม่รวม Level Up)</t>
        </is>
      </c>
      <c r="L3" s="875" t="inlineStr">
        <is>
          <t>%success
New</t>
        </is>
      </c>
      <c r="M3" s="875" t="inlineStr">
        <is>
          <t>%success
Level Up</t>
        </is>
      </c>
      <c r="N3" s="877" t="inlineStr">
        <is>
          <t>%success
รวม</t>
        </is>
      </c>
    </row>
    <row r="4" customFormat="1" s="314">
      <c r="A4" s="638" t="inlineStr">
        <is>
          <t>ติ่มซำ (นึ่ง)</t>
        </is>
      </c>
      <c r="B4" s="637" t="inlineStr">
        <is>
          <t>PMA24</t>
        </is>
      </c>
      <c r="C4" s="637" t="inlineStr">
        <is>
          <t>Jan</t>
        </is>
      </c>
      <c r="D4" s="373" t="n">
        <v>4</v>
      </c>
      <c r="E4" s="367" t="n"/>
      <c r="F4" s="376" t="n">
        <v>4</v>
      </c>
      <c r="G4" s="370" t="n"/>
      <c r="H4" s="352" t="n"/>
      <c r="I4" s="353" t="n"/>
      <c r="J4" s="35">
        <f>SUM(F4:I4)</f>
        <v/>
      </c>
      <c r="K4" s="35">
        <f>Table86100[[#This Row],[ขายได้ New]]+Table86100[[#This Row],[หยุดพัฒนาตามแผน]]+Table86100[[#This Row],[หยุดพัฒนานอกแผน]]</f>
        <v/>
      </c>
      <c r="L4" s="35">
        <f>Table86100[[#This Row],[ขายได้ New]]/Table86100[[#This Row],[แผนขาย New]]%</f>
        <v/>
      </c>
      <c r="M4" s="35" t="n"/>
      <c r="N4" s="92">
        <f>(Table86100[[#This Row],[ขายได้ New]]+Table86100[[#This Row],[ขายได้ Level Up]])/(Table86100[[#This Row],[แผนขาย New]]+Table86100[[#This Row],[แผนขาย Level Up]])%</f>
        <v/>
      </c>
    </row>
    <row r="5" customFormat="1" s="314">
      <c r="A5" s="638" t="inlineStr">
        <is>
          <t>สลัด ยำ น้ำจิ้ม</t>
        </is>
      </c>
      <c r="B5" s="637" t="inlineStr">
        <is>
          <t>PMA16</t>
        </is>
      </c>
      <c r="C5" s="637" t="inlineStr">
        <is>
          <t>Jan</t>
        </is>
      </c>
      <c r="D5" s="373" t="n">
        <v>1</v>
      </c>
      <c r="E5" s="367" t="n"/>
      <c r="F5" s="376" t="n">
        <v>1</v>
      </c>
      <c r="G5" s="370" t="n"/>
      <c r="H5" s="352" t="n"/>
      <c r="I5" s="353" t="n"/>
      <c r="J5" s="35">
        <f>SUM(F5:I5)</f>
        <v/>
      </c>
      <c r="K5" s="35">
        <f>Table86100[[#This Row],[ขายได้ New]]+Table86100[[#This Row],[หยุดพัฒนาตามแผน]]+Table86100[[#This Row],[หยุดพัฒนานอกแผน]]</f>
        <v/>
      </c>
      <c r="L5" s="35">
        <f>Table86100[[#This Row],[ขายได้ New]]/Table86100[[#This Row],[แผนขาย New]]%</f>
        <v/>
      </c>
      <c r="M5" s="35" t="n"/>
      <c r="N5" s="92">
        <f>(Table86100[[#This Row],[ขายได้ New]]+Table86100[[#This Row],[ขายได้ Level Up]])/(Table86100[[#This Row],[แผนขาย New]]+Table86100[[#This Row],[แผนขาย Level Up]])%</f>
        <v/>
      </c>
    </row>
    <row r="6" customFormat="1" s="314">
      <c r="A6" s="640" t="inlineStr">
        <is>
          <t>เบอร์เกอร์ รองท้อง</t>
        </is>
      </c>
      <c r="B6" s="636" t="inlineStr">
        <is>
          <t>PMA08</t>
        </is>
      </c>
      <c r="C6" s="636" t="inlineStr">
        <is>
          <t>Jan</t>
        </is>
      </c>
      <c r="D6" s="513" t="n">
        <v>2</v>
      </c>
      <c r="E6" s="514" t="n">
        <v>2</v>
      </c>
      <c r="F6" s="515" t="n">
        <v>2</v>
      </c>
      <c r="G6" s="516" t="n">
        <v>2</v>
      </c>
      <c r="H6" s="517" t="n"/>
      <c r="I6" s="518" t="n"/>
      <c r="J6" s="469">
        <f>SUM(F6:I6)</f>
        <v/>
      </c>
      <c r="K6" s="469">
        <f>Table86100[[#This Row],[ขายได้ New]]+Table86100[[#This Row],[หยุดพัฒนาตามแผน]]+Table86100[[#This Row],[หยุดพัฒนานอกแผน]]</f>
        <v/>
      </c>
      <c r="L6" s="469">
        <f>Table86100[[#This Row],[ขายได้ New]]/Table86100[[#This Row],[แผนขาย New]]%</f>
        <v/>
      </c>
      <c r="M6" s="469">
        <f>Table86100[[#This Row],[ขายได้ Level Up]]/Table86100[[#This Row],[แผนขาย Level Up]]%</f>
        <v/>
      </c>
      <c r="N6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7" customFormat="1" s="314">
      <c r="A7" s="638" t="inlineStr">
        <is>
          <t>เบอร์เกอร์ รองท้อง</t>
        </is>
      </c>
      <c r="B7" s="637" t="inlineStr">
        <is>
          <t>PMA02</t>
        </is>
      </c>
      <c r="C7" s="637" t="inlineStr">
        <is>
          <t>Jan</t>
        </is>
      </c>
      <c r="D7" s="373" t="n">
        <v>1</v>
      </c>
      <c r="E7" s="367" t="n"/>
      <c r="F7" s="376" t="n">
        <v>1</v>
      </c>
      <c r="G7" s="370" t="n"/>
      <c r="H7" s="352" t="n"/>
      <c r="I7" s="353" t="n"/>
      <c r="J7" s="35">
        <f>SUM(F7:I7)</f>
        <v/>
      </c>
      <c r="K7" s="35">
        <f>Table86100[[#This Row],[ขายได้ New]]+Table86100[[#This Row],[หยุดพัฒนาตามแผน]]+Table86100[[#This Row],[หยุดพัฒนานอกแผน]]</f>
        <v/>
      </c>
      <c r="L7" s="35">
        <f>Table86100[[#This Row],[ขายได้ New]]/Table86100[[#This Row],[แผนขาย New]]%</f>
        <v/>
      </c>
      <c r="M7" s="35" t="n"/>
      <c r="N7" s="92">
        <f>(Table86100[[#This Row],[ขายได้ New]]+Table86100[[#This Row],[ขายได้ Level Up]])/(Table86100[[#This Row],[แผนขาย New]]+Table86100[[#This Row],[แผนขาย Level Up]])%</f>
        <v/>
      </c>
    </row>
    <row r="8" customFormat="1" s="314">
      <c r="A8" s="640" t="inlineStr">
        <is>
          <t>ข้าวเหนียว สเต็ก</t>
        </is>
      </c>
      <c r="B8" s="636" t="inlineStr">
        <is>
          <t>PMA08</t>
        </is>
      </c>
      <c r="C8" s="636" t="inlineStr">
        <is>
          <t>Jan</t>
        </is>
      </c>
      <c r="D8" s="513" t="n">
        <v>1</v>
      </c>
      <c r="E8" s="514" t="n">
        <v>1</v>
      </c>
      <c r="F8" s="515" t="n">
        <v>1</v>
      </c>
      <c r="G8" s="516" t="n">
        <v>1</v>
      </c>
      <c r="H8" s="517" t="n"/>
      <c r="I8" s="518" t="n"/>
      <c r="J8" s="469">
        <f>SUM(F8:I8)</f>
        <v/>
      </c>
      <c r="K8" s="469">
        <f>Table86100[[#This Row],[ขายได้ New]]+Table86100[[#This Row],[หยุดพัฒนาตามแผน]]+Table86100[[#This Row],[หยุดพัฒนานอกแผน]]</f>
        <v/>
      </c>
      <c r="L8" s="469" t="n"/>
      <c r="M8" s="469">
        <f>Table86100[[#This Row],[ขายได้ Level Up]]/Table86100[[#This Row],[แผนขาย Level Up]]%</f>
        <v/>
      </c>
      <c r="N8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9" customFormat="1" s="314">
      <c r="A9" s="505" t="inlineStr">
        <is>
          <t>ติ่มซำ รองท้อง (ทอด)</t>
        </is>
      </c>
      <c r="B9" s="506" t="inlineStr">
        <is>
          <t>Export</t>
        </is>
      </c>
      <c r="C9" s="508" t="inlineStr">
        <is>
          <t>Jan</t>
        </is>
      </c>
      <c r="D9" s="373" t="n"/>
      <c r="E9" s="367" t="n"/>
      <c r="F9" s="444" t="n"/>
      <c r="G9" s="445" t="n"/>
      <c r="H9" s="442" t="n"/>
      <c r="I9" s="443" t="n">
        <v>1</v>
      </c>
      <c r="J9" s="469">
        <f>SUM(F9:I9)</f>
        <v/>
      </c>
      <c r="K9" s="469">
        <f>Table86100[[#This Row],[ขายได้ New]]+Table86100[[#This Row],[หยุดพัฒนาตามแผน]]+Table86100[[#This Row],[หยุดพัฒนานอกแผน]]</f>
        <v/>
      </c>
      <c r="L9" s="446" t="n"/>
      <c r="M9" s="446" t="n"/>
      <c r="N9" s="447" t="n"/>
    </row>
    <row r="10" ht="14.25" customFormat="1" customHeight="1" s="314">
      <c r="A10" s="639" t="inlineStr">
        <is>
          <t>ข้าวปั้น เครื่องเคียง</t>
        </is>
      </c>
      <c r="B10" s="508" t="inlineStr">
        <is>
          <t>PMA19</t>
        </is>
      </c>
      <c r="C10" s="508" t="inlineStr">
        <is>
          <t>Jan</t>
        </is>
      </c>
      <c r="D10" s="448" t="n">
        <v>1</v>
      </c>
      <c r="E10" s="449" t="n"/>
      <c r="F10" s="450" t="n">
        <v>1</v>
      </c>
      <c r="G10" s="451" t="n"/>
      <c r="H10" s="442" t="n"/>
      <c r="I10" s="443" t="n"/>
      <c r="J10" s="35">
        <f>SUM(F10:I10)</f>
        <v/>
      </c>
      <c r="K10" s="35">
        <f>Table86100[[#This Row],[ขายได้ New]]+Table86100[[#This Row],[หยุดพัฒนาตามแผน]]+Table86100[[#This Row],[หยุดพัฒนานอกแผน]]</f>
        <v/>
      </c>
      <c r="L10" s="469">
        <f>Table86100[[#This Row],[ขายได้ New]]/Table86100[[#This Row],[แผนขาย New]]%</f>
        <v/>
      </c>
      <c r="M10" s="446" t="n"/>
      <c r="N10" s="447" t="n">
        <v>100</v>
      </c>
    </row>
    <row r="11" ht="14.25" customFormat="1" customHeight="1" s="314">
      <c r="A11" s="640" t="inlineStr">
        <is>
          <t>ข้าวและกับข้าว</t>
        </is>
      </c>
      <c r="B11" s="636" t="inlineStr">
        <is>
          <t>PMA19</t>
        </is>
      </c>
      <c r="C11" s="636" t="inlineStr">
        <is>
          <t>Jan</t>
        </is>
      </c>
      <c r="D11" s="513" t="n">
        <v>2</v>
      </c>
      <c r="E11" s="514" t="n">
        <v>3</v>
      </c>
      <c r="F11" s="515" t="n">
        <v>2</v>
      </c>
      <c r="G11" s="516" t="n">
        <v>3</v>
      </c>
      <c r="H11" s="517" t="n"/>
      <c r="I11" s="518" t="n"/>
      <c r="J11" s="35">
        <f>SUM(F11:I11)</f>
        <v/>
      </c>
      <c r="K11" s="35">
        <f>Table86100[[#This Row],[ขายได้ New]]+Table86100[[#This Row],[หยุดพัฒนาตามแผน]]+Table86100[[#This Row],[หยุดพัฒนานอกแผน]]</f>
        <v/>
      </c>
      <c r="L11" s="469">
        <f>Table86100[[#This Row],[ขายได้ New]]/Table86100[[#This Row],[แผนขาย New]]%</f>
        <v/>
      </c>
      <c r="M11" s="469">
        <f>Table86100[[#This Row],[ขายได้ Level Up]]/Table86100[[#This Row],[แผนขาย Level Up]]%</f>
        <v/>
      </c>
      <c r="N11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12" ht="14.25" customFormat="1" customHeight="1" s="314">
      <c r="A12" s="638" t="inlineStr">
        <is>
          <t>กับข้าว</t>
        </is>
      </c>
      <c r="B12" s="637" t="inlineStr">
        <is>
          <t>PMA19</t>
        </is>
      </c>
      <c r="C12" s="637" t="inlineStr">
        <is>
          <t>Jan</t>
        </is>
      </c>
      <c r="D12" s="373" t="n"/>
      <c r="E12" s="367" t="n">
        <v>1</v>
      </c>
      <c r="F12" s="444" t="n"/>
      <c r="G12" s="445" t="n">
        <v>1</v>
      </c>
      <c r="H12" s="442" t="n"/>
      <c r="I12" s="443" t="n"/>
      <c r="J12" s="469">
        <f>SUM(F12:I12)</f>
        <v/>
      </c>
      <c r="K12" s="469">
        <f>Table86100[[#This Row],[ขายได้ New]]+Table86100[[#This Row],[หยุดพัฒนาตามแผน]]+Table86100[[#This Row],[หยุดพัฒนานอกแผน]]</f>
        <v/>
      </c>
      <c r="L12" s="469" t="n"/>
      <c r="M12" s="469">
        <f>Table86100[[#This Row],[ขายได้ Level Up]]/Table86100[[#This Row],[แผนขาย Level Up]]%</f>
        <v/>
      </c>
      <c r="N12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13" ht="14.25" customFormat="1" customHeight="1" s="314">
      <c r="A13" s="640" t="inlineStr">
        <is>
          <t>กับข้าว</t>
        </is>
      </c>
      <c r="B13" s="636" t="inlineStr">
        <is>
          <t>PMA06</t>
        </is>
      </c>
      <c r="C13" s="637" t="inlineStr">
        <is>
          <t>Jan</t>
        </is>
      </c>
      <c r="D13" s="513" t="n"/>
      <c r="E13" s="514" t="n">
        <v>1</v>
      </c>
      <c r="F13" s="515" t="n"/>
      <c r="G13" s="516" t="n">
        <v>1</v>
      </c>
      <c r="H13" s="517" t="n"/>
      <c r="I13" s="518" t="n"/>
      <c r="J13" s="469">
        <f>SUM(F13:I13)</f>
        <v/>
      </c>
      <c r="K13" s="469">
        <f>Table86100[[#This Row],[ขายได้ New]]+Table86100[[#This Row],[หยุดพัฒนาตามแผน]]+Table86100[[#This Row],[หยุดพัฒนานอกแผน]]</f>
        <v/>
      </c>
      <c r="L13" s="469" t="n"/>
      <c r="M13" s="469">
        <f>Table86100[[#This Row],[ขายได้ Level Up]]/Table86100[[#This Row],[แผนขาย Level Up]]%</f>
        <v/>
      </c>
      <c r="N13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14" ht="14.25" customFormat="1" customHeight="1" s="314">
      <c r="A14" s="640" t="inlineStr">
        <is>
          <t>ติ่มซำ (นึ่ง)</t>
        </is>
      </c>
      <c r="B14" s="636" t="inlineStr">
        <is>
          <t>Export</t>
        </is>
      </c>
      <c r="C14" s="636" t="inlineStr">
        <is>
          <t>Jan</t>
        </is>
      </c>
      <c r="D14" s="513" t="n">
        <v>2</v>
      </c>
      <c r="E14" s="514" t="n"/>
      <c r="F14" s="515" t="n">
        <v>2</v>
      </c>
      <c r="G14" s="516" t="n"/>
      <c r="H14" s="517" t="n"/>
      <c r="I14" s="518" t="n"/>
      <c r="J14" s="469">
        <f>SUM(F14:I14)</f>
        <v/>
      </c>
      <c r="K14" s="469">
        <f>Table86100[[#This Row],[ขายได้ New]]+Table86100[[#This Row],[หยุดพัฒนาตามแผน]]+Table86100[[#This Row],[หยุดพัฒนานอกแผน]]</f>
        <v/>
      </c>
      <c r="L14" s="469">
        <f>Table86100[[#This Row],[ขายได้ New]]/Table86100[[#This Row],[แผนขาย New]]%</f>
        <v/>
      </c>
      <c r="M14" s="469" t="n"/>
      <c r="N14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15" ht="14.25" customFormat="1" customHeight="1" s="314">
      <c r="A15" s="640" t="inlineStr">
        <is>
          <t>กับข้าว</t>
        </is>
      </c>
      <c r="B15" s="636" t="inlineStr">
        <is>
          <t>PMA19</t>
        </is>
      </c>
      <c r="C15" s="636" t="inlineStr">
        <is>
          <t>Feb</t>
        </is>
      </c>
      <c r="D15" s="513" t="n">
        <v>1</v>
      </c>
      <c r="E15" s="514" t="n"/>
      <c r="F15" s="515" t="n">
        <v>1</v>
      </c>
      <c r="G15" s="516" t="n"/>
      <c r="H15" s="517" t="n"/>
      <c r="I15" s="518" t="n"/>
      <c r="J15" s="469">
        <f>SUM(F15:I15)</f>
        <v/>
      </c>
      <c r="K15" s="469">
        <f>Table86100[[#This Row],[ขายได้ New]]+Table86100[[#This Row],[หยุดพัฒนาตามแผน]]+Table86100[[#This Row],[หยุดพัฒนานอกแผน]]</f>
        <v/>
      </c>
      <c r="L15" s="469">
        <f>Table86100[[#This Row],[ขายได้ New]]/Table86100[[#This Row],[แผนขาย New]]%</f>
        <v/>
      </c>
      <c r="M15" s="469" t="n"/>
      <c r="N15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16" ht="14.25" customFormat="1" customHeight="1" s="314">
      <c r="A16" s="640" t="inlineStr">
        <is>
          <t>กับข้าว</t>
        </is>
      </c>
      <c r="B16" s="636" t="inlineStr">
        <is>
          <t>PMA06</t>
        </is>
      </c>
      <c r="C16" s="636" t="inlineStr">
        <is>
          <t>Feb</t>
        </is>
      </c>
      <c r="D16" s="513" t="n">
        <v>1</v>
      </c>
      <c r="E16" s="514" t="n"/>
      <c r="F16" s="515" t="n">
        <v>1</v>
      </c>
      <c r="G16" s="516" t="n"/>
      <c r="H16" s="517" t="n"/>
      <c r="I16" s="518" t="n"/>
      <c r="J16" s="469">
        <f>SUM(F16:I16)</f>
        <v/>
      </c>
      <c r="K16" s="469">
        <f>Table86100[[#This Row],[ขายได้ New]]+Table86100[[#This Row],[หยุดพัฒนาตามแผน]]+Table86100[[#This Row],[หยุดพัฒนานอกแผน]]</f>
        <v/>
      </c>
      <c r="L16" s="469">
        <f>Table86100[[#This Row],[ขายได้ New]]/Table86100[[#This Row],[แผนขาย New]]%</f>
        <v/>
      </c>
      <c r="M16" s="469" t="n"/>
      <c r="N16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17" ht="14.25" customFormat="1" customHeight="1" s="314">
      <c r="A17" s="640" t="inlineStr">
        <is>
          <t>กับข้าว</t>
        </is>
      </c>
      <c r="B17" s="636" t="inlineStr">
        <is>
          <t>PMA20</t>
        </is>
      </c>
      <c r="C17" s="636" t="inlineStr">
        <is>
          <t>Feb</t>
        </is>
      </c>
      <c r="D17" s="513" t="n"/>
      <c r="E17" s="514" t="n">
        <v>1</v>
      </c>
      <c r="F17" s="515" t="n"/>
      <c r="G17" s="516" t="n">
        <v>1</v>
      </c>
      <c r="H17" s="517" t="n"/>
      <c r="I17" s="518" t="n"/>
      <c r="J17" s="469">
        <f>SUM(F17:I17)</f>
        <v/>
      </c>
      <c r="K17" s="469">
        <f>Table86100[[#This Row],[ขายได้ New]]+Table86100[[#This Row],[หยุดพัฒนาตามแผน]]+Table86100[[#This Row],[หยุดพัฒนานอกแผน]]</f>
        <v/>
      </c>
      <c r="L17" s="469" t="n"/>
      <c r="M17" s="469">
        <f>Table86100[[#This Row],[ขายได้ Level Up]]/Table86100[[#This Row],[แผนขาย Level Up]]%</f>
        <v/>
      </c>
      <c r="N17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18" ht="14.25" customFormat="1" customHeight="1" s="314">
      <c r="A18" s="640" t="inlineStr">
        <is>
          <t>ข้าวและกับข้าว</t>
        </is>
      </c>
      <c r="B18" s="636" t="inlineStr">
        <is>
          <t>PMA19</t>
        </is>
      </c>
      <c r="C18" s="636" t="inlineStr">
        <is>
          <t>Feb</t>
        </is>
      </c>
      <c r="D18" s="513" t="n"/>
      <c r="E18" s="514" t="n">
        <v>1</v>
      </c>
      <c r="F18" s="515" t="n"/>
      <c r="G18" s="516" t="n">
        <v>1</v>
      </c>
      <c r="H18" s="517" t="n"/>
      <c r="I18" s="518" t="n"/>
      <c r="J18" s="469">
        <f>SUM(F18:I18)</f>
        <v/>
      </c>
      <c r="K18" s="469">
        <f>Table86100[[#This Row],[ขายได้ New]]+Table86100[[#This Row],[หยุดพัฒนาตามแผน]]+Table86100[[#This Row],[หยุดพัฒนานอกแผน]]</f>
        <v/>
      </c>
      <c r="L18" s="469" t="n"/>
      <c r="M18" s="469">
        <f>Table86100[[#This Row],[ขายได้ Level Up]]/Table86100[[#This Row],[แผนขาย Level Up]]%</f>
        <v/>
      </c>
      <c r="N18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19" ht="14.25" customFormat="1" customHeight="1" s="314">
      <c r="A19" s="641" t="inlineStr">
        <is>
          <t>เส้น (ข้าวไทย)</t>
        </is>
      </c>
      <c r="B19" s="636" t="inlineStr">
        <is>
          <t>PMA19</t>
        </is>
      </c>
      <c r="C19" s="636" t="inlineStr">
        <is>
          <t>Feb</t>
        </is>
      </c>
      <c r="D19" s="513" t="n">
        <v>1</v>
      </c>
      <c r="E19" s="514" t="n"/>
      <c r="F19" s="515" t="n">
        <v>1</v>
      </c>
      <c r="G19" s="516" t="n"/>
      <c r="H19" s="517" t="n"/>
      <c r="I19" s="518" t="n"/>
      <c r="J19" s="469">
        <f>SUM(F19:I19)</f>
        <v/>
      </c>
      <c r="K19" s="469">
        <f>Table86100[[#This Row],[ขายได้ New]]+Table86100[[#This Row],[หยุดพัฒนาตามแผน]]+Table86100[[#This Row],[หยุดพัฒนานอกแผน]]</f>
        <v/>
      </c>
      <c r="L19" s="469">
        <f>Table86100[[#This Row],[ขายได้ New]]/Table86100[[#This Row],[แผนขาย New]]%</f>
        <v/>
      </c>
      <c r="M19" s="469" t="n"/>
      <c r="N19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20" ht="14.25" customFormat="1" customHeight="1" s="314">
      <c r="A20" s="641" t="inlineStr">
        <is>
          <t>เส้น (ข้าวไทย)</t>
        </is>
      </c>
      <c r="B20" s="636" t="inlineStr">
        <is>
          <t>PMA20</t>
        </is>
      </c>
      <c r="C20" s="636" t="inlineStr">
        <is>
          <t>Feb</t>
        </is>
      </c>
      <c r="D20" s="513" t="n">
        <v>1</v>
      </c>
      <c r="E20" s="514" t="n"/>
      <c r="F20" s="515" t="n">
        <v>1</v>
      </c>
      <c r="G20" s="516" t="n"/>
      <c r="H20" s="517" t="n"/>
      <c r="I20" s="518" t="n"/>
      <c r="J20" s="469">
        <f>SUM(F20:I20)</f>
        <v/>
      </c>
      <c r="K20" s="469">
        <f>Table86100[[#This Row],[ขายได้ New]]+Table86100[[#This Row],[หยุดพัฒนาตามแผน]]+Table86100[[#This Row],[หยุดพัฒนานอกแผน]]</f>
        <v/>
      </c>
      <c r="L20" s="469">
        <f>Table86100[[#This Row],[ขายได้ New]]/Table86100[[#This Row],[แผนขาย New]]%</f>
        <v/>
      </c>
      <c r="M20" s="469" t="n"/>
      <c r="N20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21" ht="14.25" customFormat="1" customHeight="1" s="314">
      <c r="A21" s="640" t="inlineStr">
        <is>
          <t>เบอร์เกอร์ รองท้อง</t>
        </is>
      </c>
      <c r="B21" s="636" t="inlineStr">
        <is>
          <t>PMA08</t>
        </is>
      </c>
      <c r="C21" s="636" t="inlineStr">
        <is>
          <t>Feb</t>
        </is>
      </c>
      <c r="D21" s="513" t="n">
        <v>1</v>
      </c>
      <c r="E21" s="514" t="n">
        <v>2</v>
      </c>
      <c r="F21" s="515" t="n">
        <v>1</v>
      </c>
      <c r="G21" s="516" t="n">
        <v>2</v>
      </c>
      <c r="H21" s="517" t="n"/>
      <c r="I21" s="518" t="n"/>
      <c r="J21" s="469">
        <f>SUM(F21:I21)</f>
        <v/>
      </c>
      <c r="K21" s="469">
        <f>Table86100[[#This Row],[ขายได้ New]]+Table86100[[#This Row],[หยุดพัฒนาตามแผน]]+Table86100[[#This Row],[หยุดพัฒนานอกแผน]]</f>
        <v/>
      </c>
      <c r="L21" s="469">
        <f>Table86100[[#This Row],[ขายได้ New]]/Table86100[[#This Row],[แผนขาย New]]%</f>
        <v/>
      </c>
      <c r="M21" s="469">
        <f>Table86100[[#This Row],[ขายได้ Level Up]]/Table86100[[#This Row],[แผนขาย Level Up]]%</f>
        <v/>
      </c>
      <c r="N21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22" ht="14.25" customFormat="1" customHeight="1" s="314">
      <c r="A22" s="640" t="inlineStr">
        <is>
          <t>ข้าวเหนียว สเต็ก</t>
        </is>
      </c>
      <c r="B22" s="636" t="inlineStr">
        <is>
          <t>PMA08</t>
        </is>
      </c>
      <c r="C22" s="636" t="inlineStr">
        <is>
          <t>Feb</t>
        </is>
      </c>
      <c r="D22" s="513" t="n">
        <v>1</v>
      </c>
      <c r="E22" s="514" t="n"/>
      <c r="F22" s="515" t="n">
        <v>1</v>
      </c>
      <c r="G22" s="516" t="n"/>
      <c r="H22" s="517" t="n"/>
      <c r="I22" s="518" t="n"/>
      <c r="J22" s="469">
        <f>SUM(F22:I22)</f>
        <v/>
      </c>
      <c r="K22" s="469">
        <f>Table86100[[#This Row],[ขายได้ New]]+Table86100[[#This Row],[หยุดพัฒนาตามแผน]]+Table86100[[#This Row],[หยุดพัฒนานอกแผน]]</f>
        <v/>
      </c>
      <c r="L22" s="469">
        <f>Table86100[[#This Row],[ขายได้ New]]/Table86100[[#This Row],[แผนขาย New]]%</f>
        <v/>
      </c>
      <c r="M22" s="469" t="n"/>
      <c r="N22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23" ht="14.25" customFormat="1" customHeight="1" s="314">
      <c r="A23" s="640" t="inlineStr">
        <is>
          <t>ข้าวเหนียว สเต็ก</t>
        </is>
      </c>
      <c r="B23" s="636" t="inlineStr">
        <is>
          <t>PMA22</t>
        </is>
      </c>
      <c r="C23" s="636" t="inlineStr">
        <is>
          <t>Feb</t>
        </is>
      </c>
      <c r="D23" s="513" t="n">
        <v>1</v>
      </c>
      <c r="E23" s="514" t="n"/>
      <c r="F23" s="515" t="n">
        <v>1</v>
      </c>
      <c r="G23" s="516" t="n"/>
      <c r="H23" s="517" t="n"/>
      <c r="I23" s="518" t="n"/>
      <c r="J23" s="469">
        <f>SUM(F23:I23)</f>
        <v/>
      </c>
      <c r="K23" s="469">
        <f>Table86100[[#This Row],[ขายได้ New]]+Table86100[[#This Row],[หยุดพัฒนาตามแผน]]+Table86100[[#This Row],[หยุดพัฒนานอกแผน]]</f>
        <v/>
      </c>
      <c r="L23" s="469">
        <f>Table86100[[#This Row],[ขายได้ New]]/Table86100[[#This Row],[แผนขาย New]]%</f>
        <v/>
      </c>
      <c r="M23" s="469" t="n"/>
      <c r="N23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24" ht="14.25" customFormat="1" customHeight="1" s="314">
      <c r="A24" s="638" t="inlineStr">
        <is>
          <t>ติ่มซำ (นึ่ง)</t>
        </is>
      </c>
      <c r="B24" s="637" t="inlineStr">
        <is>
          <t>PMA24</t>
        </is>
      </c>
      <c r="C24" s="636" t="inlineStr">
        <is>
          <t>Feb</t>
        </is>
      </c>
      <c r="D24" s="513" t="n">
        <v>2</v>
      </c>
      <c r="E24" s="514" t="n">
        <v>1</v>
      </c>
      <c r="F24" s="515" t="n">
        <v>2</v>
      </c>
      <c r="G24" s="516" t="n">
        <v>1</v>
      </c>
      <c r="H24" s="517" t="n"/>
      <c r="I24" s="518" t="n"/>
      <c r="J24" s="469">
        <f>SUM(F24:I24)</f>
        <v/>
      </c>
      <c r="K24" s="469">
        <f>Table86100[[#This Row],[ขายได้ New]]+Table86100[[#This Row],[หยุดพัฒนาตามแผน]]+Table86100[[#This Row],[หยุดพัฒนานอกแผน]]</f>
        <v/>
      </c>
      <c r="L24" s="469">
        <f>Table86100[[#This Row],[ขายได้ New]]/Table86100[[#This Row],[แผนขาย New]]%</f>
        <v/>
      </c>
      <c r="M24" s="469">
        <f>Table86100[[#This Row],[ขายได้ Level Up]]/Table86100[[#This Row],[แผนขาย Level Up]]%</f>
        <v/>
      </c>
      <c r="N24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25" ht="14.25" customFormat="1" customHeight="1" s="314">
      <c r="A25" s="638" t="inlineStr">
        <is>
          <t>ข้าวปั้น เครื่องเคียง</t>
        </is>
      </c>
      <c r="B25" s="636" t="inlineStr">
        <is>
          <t>PMA19</t>
        </is>
      </c>
      <c r="C25" s="637" t="inlineStr">
        <is>
          <t>Feb</t>
        </is>
      </c>
      <c r="D25" s="513" t="n"/>
      <c r="E25" s="514" t="n">
        <v>1</v>
      </c>
      <c r="F25" s="515" t="n"/>
      <c r="G25" s="516" t="n">
        <v>1</v>
      </c>
      <c r="H25" s="517" t="n"/>
      <c r="I25" s="518" t="n"/>
      <c r="J25" s="469">
        <f>SUM(F25:I25)</f>
        <v/>
      </c>
      <c r="K25" s="469">
        <f>Table86100[[#This Row],[ขายได้ New]]+Table86100[[#This Row],[หยุดพัฒนาตามแผน]]+Table86100[[#This Row],[หยุดพัฒนานอกแผน]]</f>
        <v/>
      </c>
      <c r="L25" s="469" t="n"/>
      <c r="M25" s="469">
        <f>Table86100[[#This Row],[ขายได้ Level Up]]/Table86100[[#This Row],[แผนขาย Level Up]]%</f>
        <v/>
      </c>
      <c r="N25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26" ht="14.25" customFormat="1" customHeight="1" s="314">
      <c r="A26" s="638" t="inlineStr">
        <is>
          <t>ติ่มซำ (นึ่ง)</t>
        </is>
      </c>
      <c r="B26" s="636" t="inlineStr">
        <is>
          <t>Export</t>
        </is>
      </c>
      <c r="C26" s="508" t="inlineStr">
        <is>
          <t>Feb</t>
        </is>
      </c>
      <c r="D26" s="513" t="n">
        <v>2</v>
      </c>
      <c r="E26" s="514" t="n"/>
      <c r="F26" s="515" t="n">
        <v>2</v>
      </c>
      <c r="G26" s="516" t="n"/>
      <c r="H26" s="517" t="n"/>
      <c r="I26" s="518" t="n"/>
      <c r="J26" s="469">
        <f>SUM(F26:I26)</f>
        <v/>
      </c>
      <c r="K26" s="469">
        <f>Table86100[[#This Row],[ขายได้ New]]+Table86100[[#This Row],[หยุดพัฒนาตามแผน]]+Table86100[[#This Row],[หยุดพัฒนานอกแผน]]</f>
        <v/>
      </c>
      <c r="L26" s="469">
        <f>Table86100[[#This Row],[ขายได้ New]]/Table86100[[#This Row],[แผนขาย New]]%</f>
        <v/>
      </c>
      <c r="M26" s="469" t="n"/>
      <c r="N26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27" ht="14.25" customFormat="1" customHeight="1" s="314">
      <c r="A27" s="638" t="inlineStr">
        <is>
          <t>ข้าวปั้น เครื่องเคียง</t>
        </is>
      </c>
      <c r="B27" s="635" t="inlineStr">
        <is>
          <t>PMA19</t>
        </is>
      </c>
      <c r="C27" s="637" t="inlineStr">
        <is>
          <t>Mar</t>
        </is>
      </c>
      <c r="D27" s="513" t="n">
        <v>1</v>
      </c>
      <c r="E27" s="514" t="n">
        <v>2</v>
      </c>
      <c r="F27" s="515" t="n">
        <v>1</v>
      </c>
      <c r="G27" s="516" t="n">
        <v>2</v>
      </c>
      <c r="H27" s="517" t="n"/>
      <c r="I27" s="518" t="n"/>
      <c r="J27" s="469">
        <f>SUM(F27:I27)</f>
        <v/>
      </c>
      <c r="K27" s="542">
        <f>Table86100[[#This Row],[ขายได้ New]]+Table86100[[#This Row],[หยุดพัฒนาตามแผน]]+Table86100[[#This Row],[หยุดพัฒนานอกแผน]]</f>
        <v/>
      </c>
      <c r="L27" s="542">
        <f>Table86100[[#This Row],[ขายได้ New]]/Table86100[[#This Row],[แผนขาย New]]%</f>
        <v/>
      </c>
      <c r="M27" s="542">
        <f>Table86100[[#This Row],[ขายได้ Level Up]]/Table86100[[#This Row],[แผนขาย Level Up]]%</f>
        <v/>
      </c>
      <c r="N27" s="543">
        <f>(Table86100[[#This Row],[ขายได้ New]]+Table86100[[#This Row],[ขายได้ Level Up]])/(Table86100[[#This Row],[แผนขาย New]]+Table86100[[#This Row],[แผนขาย Level Up]])%</f>
        <v/>
      </c>
    </row>
    <row r="28" ht="14.25" customFormat="1" customHeight="1" s="314">
      <c r="A28" s="638" t="inlineStr">
        <is>
          <t>ติ่มซำ (นึ่ง)</t>
        </is>
      </c>
      <c r="B28" s="637" t="inlineStr">
        <is>
          <t>PMA24</t>
        </is>
      </c>
      <c r="C28" s="637" t="inlineStr">
        <is>
          <t>Mar</t>
        </is>
      </c>
      <c r="D28" s="513" t="n">
        <v>3</v>
      </c>
      <c r="E28" s="514" t="n"/>
      <c r="F28" s="515" t="n">
        <v>3</v>
      </c>
      <c r="G28" s="516" t="n"/>
      <c r="H28" s="517" t="n"/>
      <c r="I28" s="518" t="n"/>
      <c r="J28" s="469">
        <f>SUM(F28:I28)</f>
        <v/>
      </c>
      <c r="K28" s="469">
        <f>Table86100[[#This Row],[ขายได้ New]]+Table86100[[#This Row],[หยุดพัฒนาตามแผน]]+Table86100[[#This Row],[หยุดพัฒนานอกแผน]]</f>
        <v/>
      </c>
      <c r="L28" s="469">
        <f>Table86100[[#This Row],[ขายได้ New]]/Table86100[[#This Row],[แผนขาย New]]%</f>
        <v/>
      </c>
      <c r="M28" s="469" t="n"/>
      <c r="N28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29" ht="14.25" customFormat="1" customHeight="1" s="314">
      <c r="A29" s="638" t="inlineStr">
        <is>
          <t>ติ่มซำ (นึ่ง)</t>
        </is>
      </c>
      <c r="B29" s="636" t="inlineStr">
        <is>
          <t>Export</t>
        </is>
      </c>
      <c r="C29" s="508" t="inlineStr">
        <is>
          <t>Mar</t>
        </is>
      </c>
      <c r="D29" s="513" t="n">
        <v>1</v>
      </c>
      <c r="E29" s="514" t="n"/>
      <c r="F29" s="515" t="n">
        <v>1</v>
      </c>
      <c r="G29" s="516" t="n"/>
      <c r="H29" s="517" t="n"/>
      <c r="I29" s="518" t="n"/>
      <c r="J29" s="469">
        <f>SUM(F29:I29)</f>
        <v/>
      </c>
      <c r="K29" s="469">
        <f>Table86100[[#This Row],[ขายได้ New]]+Table86100[[#This Row],[หยุดพัฒนาตามแผน]]+Table86100[[#This Row],[หยุดพัฒนานอกแผน]]</f>
        <v/>
      </c>
      <c r="L29" s="469">
        <f>Table86100[[#This Row],[ขายได้ New]]/Table86100[[#This Row],[แผนขาย New]]%</f>
        <v/>
      </c>
      <c r="M29" s="469" t="n"/>
      <c r="N29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30" ht="14.25" customFormat="1" customHeight="1" s="314">
      <c r="A30" s="640" t="inlineStr">
        <is>
          <t>ข้าวและกับข้าว</t>
        </is>
      </c>
      <c r="B30" s="635" t="inlineStr">
        <is>
          <t>PMA19</t>
        </is>
      </c>
      <c r="C30" s="636" t="inlineStr">
        <is>
          <t>Mar</t>
        </is>
      </c>
      <c r="D30" s="513" t="n"/>
      <c r="E30" s="514" t="n">
        <v>2</v>
      </c>
      <c r="F30" s="515" t="n"/>
      <c r="G30" s="516" t="n">
        <v>2</v>
      </c>
      <c r="H30" s="517" t="n"/>
      <c r="I30" s="518" t="n"/>
      <c r="J30" s="469">
        <f>SUM(F30:I30)</f>
        <v/>
      </c>
      <c r="K30" s="469">
        <f>Table86100[[#This Row],[ขายได้ New]]+Table86100[[#This Row],[หยุดพัฒนาตามแผน]]+Table86100[[#This Row],[หยุดพัฒนานอกแผน]]</f>
        <v/>
      </c>
      <c r="L30" s="469" t="n"/>
      <c r="M30" s="469">
        <f>Table86100[[#This Row],[ขายได้ Level Up]]/Table86100[[#This Row],[แผนขาย Level Up]]%</f>
        <v/>
      </c>
      <c r="N30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31" ht="14.25" customFormat="1" customHeight="1" s="314">
      <c r="A31" s="638" t="inlineStr">
        <is>
          <t>เส้น (ข้าวไทย)</t>
        </is>
      </c>
      <c r="B31" s="635" t="inlineStr">
        <is>
          <t>PMA19</t>
        </is>
      </c>
      <c r="C31" s="508" t="inlineStr">
        <is>
          <t>Mar</t>
        </is>
      </c>
      <c r="D31" s="513" t="n"/>
      <c r="E31" s="514" t="n">
        <v>1</v>
      </c>
      <c r="F31" s="515" t="n"/>
      <c r="G31" s="514" t="n">
        <v>1</v>
      </c>
      <c r="H31" s="517" t="n"/>
      <c r="I31" s="518" t="n"/>
      <c r="J31" s="469">
        <f>SUM(F31:I31)</f>
        <v/>
      </c>
      <c r="K31" s="469">
        <f>Table86100[[#This Row],[ขายได้ New]]+Table86100[[#This Row],[หยุดพัฒนาตามแผน]]+Table86100[[#This Row],[หยุดพัฒนานอกแผน]]</f>
        <v/>
      </c>
      <c r="L31" s="469" t="n"/>
      <c r="M31" s="469">
        <f>Table86100[[#This Row],[ขายได้ Level Up]]/Table86100[[#This Row],[แผนขาย Level Up]]%</f>
        <v/>
      </c>
      <c r="N31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32" ht="14.25" customFormat="1" customHeight="1" s="314">
      <c r="A32" s="638" t="inlineStr">
        <is>
          <t>เส้น (ข้าวไทย)</t>
        </is>
      </c>
      <c r="B32" s="635" t="inlineStr">
        <is>
          <t>PMA20</t>
        </is>
      </c>
      <c r="C32" s="636" t="inlineStr">
        <is>
          <t>Mar</t>
        </is>
      </c>
      <c r="D32" s="513" t="n"/>
      <c r="E32" s="514" t="n">
        <v>2</v>
      </c>
      <c r="F32" s="515" t="n"/>
      <c r="G32" s="514" t="n">
        <v>2</v>
      </c>
      <c r="H32" s="517" t="n"/>
      <c r="I32" s="518" t="n"/>
      <c r="J32" s="469">
        <f>SUM(F32:I32)</f>
        <v/>
      </c>
      <c r="K32" s="469">
        <f>Table86100[[#This Row],[ขายได้ New]]+Table86100[[#This Row],[หยุดพัฒนาตามแผน]]+Table86100[[#This Row],[หยุดพัฒนานอกแผน]]</f>
        <v/>
      </c>
      <c r="L32" s="469" t="n"/>
      <c r="M32" s="469">
        <f>Table86100[[#This Row],[ขายได้ Level Up]]/Table86100[[#This Row],[แผนขาย Level Up]]%</f>
        <v/>
      </c>
      <c r="N32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33" ht="14.25" customFormat="1" customHeight="1" s="314">
      <c r="A33" s="638" t="inlineStr">
        <is>
          <t xml:space="preserve">เส้น (แป้งสาลี) ซุป </t>
        </is>
      </c>
      <c r="B33" s="635" t="inlineStr">
        <is>
          <t>PMA20</t>
        </is>
      </c>
      <c r="C33" s="636" t="inlineStr">
        <is>
          <t>Mar</t>
        </is>
      </c>
      <c r="D33" s="513" t="n"/>
      <c r="E33" s="514" t="n">
        <v>1</v>
      </c>
      <c r="F33" s="515" t="n"/>
      <c r="G33" s="514" t="n">
        <v>1</v>
      </c>
      <c r="H33" s="517" t="n"/>
      <c r="I33" s="518" t="n"/>
      <c r="J33" s="469">
        <f>SUM(F33:I33)</f>
        <v/>
      </c>
      <c r="K33" s="469">
        <f>Table86100[[#This Row],[ขายได้ New]]+Table86100[[#This Row],[หยุดพัฒนาตามแผน]]+Table86100[[#This Row],[หยุดพัฒนานอกแผน]]</f>
        <v/>
      </c>
      <c r="L33" s="469" t="n"/>
      <c r="M33" s="469">
        <f>Table86100[[#This Row],[ขายได้ Level Up]]/Table86100[[#This Row],[แผนขาย Level Up]]%</f>
        <v/>
      </c>
      <c r="N33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34" ht="14.25" customFormat="1" customHeight="1" s="314">
      <c r="A34" s="640" t="inlineStr">
        <is>
          <t xml:space="preserve">เส้น (แป้งสาลี) ซุป </t>
        </is>
      </c>
      <c r="B34" s="636" t="inlineStr">
        <is>
          <t>non-7</t>
        </is>
      </c>
      <c r="C34" s="636" t="inlineStr">
        <is>
          <t>Mar</t>
        </is>
      </c>
      <c r="D34" s="513" t="n">
        <v>1</v>
      </c>
      <c r="E34" s="514" t="n"/>
      <c r="F34" s="515" t="n">
        <v>1</v>
      </c>
      <c r="G34" s="514" t="n"/>
      <c r="H34" s="517" t="n"/>
      <c r="I34" s="518" t="n"/>
      <c r="J34" s="469">
        <f>SUM(F34:I34)</f>
        <v/>
      </c>
      <c r="K34" s="469">
        <f>Table86100[[#This Row],[ขายได้ New]]+Table86100[[#This Row],[หยุดพัฒนาตามแผน]]+Table86100[[#This Row],[หยุดพัฒนานอกแผน]]</f>
        <v/>
      </c>
      <c r="L34" s="469">
        <f>Table86100[[#This Row],[ขายได้ New]]/Table86100[[#This Row],[แผนขาย New]]%</f>
        <v/>
      </c>
      <c r="M34" s="469" t="n"/>
      <c r="N34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35" ht="14.25" customFormat="1" customHeight="1" s="314">
      <c r="A35" s="640" t="inlineStr">
        <is>
          <t>ข้าวและกับข้าว</t>
        </is>
      </c>
      <c r="B35" s="636" t="inlineStr">
        <is>
          <t>PMA20</t>
        </is>
      </c>
      <c r="C35" s="636" t="inlineStr">
        <is>
          <t>Mar</t>
        </is>
      </c>
      <c r="D35" s="513" t="n"/>
      <c r="E35" s="514" t="n">
        <v>1</v>
      </c>
      <c r="F35" s="515" t="n"/>
      <c r="G35" s="514" t="n">
        <v>1</v>
      </c>
      <c r="H35" s="517" t="n"/>
      <c r="I35" s="518" t="n"/>
      <c r="J35" s="469">
        <f>SUM(F35:I35)</f>
        <v/>
      </c>
      <c r="K35" s="469">
        <f>Table86100[[#This Row],[ขายได้ New]]+Table86100[[#This Row],[หยุดพัฒนาตามแผน]]+Table86100[[#This Row],[หยุดพัฒนานอกแผน]]</f>
        <v/>
      </c>
      <c r="L35" s="469" t="n"/>
      <c r="M35" s="469">
        <f>Table86100[[#This Row],[ขายได้ Level Up]]/Table86100[[#This Row],[แผนขาย Level Up]]%</f>
        <v/>
      </c>
      <c r="N35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36" ht="14.25" customFormat="1" customHeight="1" s="314">
      <c r="A36" s="640" t="inlineStr">
        <is>
          <t>เบอร์เกอร์ รองท้อง</t>
        </is>
      </c>
      <c r="B36" s="636" t="inlineStr">
        <is>
          <t>PMA08</t>
        </is>
      </c>
      <c r="C36" s="636" t="inlineStr">
        <is>
          <t>Mar</t>
        </is>
      </c>
      <c r="D36" s="513" t="n">
        <v>3</v>
      </c>
      <c r="E36" s="514" t="n">
        <v>1</v>
      </c>
      <c r="F36" s="515" t="n">
        <v>3</v>
      </c>
      <c r="G36" s="514" t="n">
        <v>1</v>
      </c>
      <c r="H36" s="517" t="n"/>
      <c r="I36" s="518" t="n"/>
      <c r="J36" s="469">
        <f>SUM(F36:I36)</f>
        <v/>
      </c>
      <c r="K36" s="469">
        <f>Table86100[[#This Row],[ขายได้ New]]+Table86100[[#This Row],[หยุดพัฒนาตามแผน]]+Table86100[[#This Row],[หยุดพัฒนานอกแผน]]</f>
        <v/>
      </c>
      <c r="L36" s="469">
        <f>Table86100[[#This Row],[ขายได้ New]]/Table86100[[#This Row],[แผนขาย New]]%</f>
        <v/>
      </c>
      <c r="M36" s="469">
        <f>Table86100[[#This Row],[ขายได้ Level Up]]/Table86100[[#This Row],[แผนขาย Level Up]]%</f>
        <v/>
      </c>
      <c r="N36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37" ht="14.25" customFormat="1" customHeight="1" s="314">
      <c r="A37" s="640" t="inlineStr">
        <is>
          <t>ข้าวเหนียว สเต็ก</t>
        </is>
      </c>
      <c r="B37" s="636" t="inlineStr">
        <is>
          <t>PMA08</t>
        </is>
      </c>
      <c r="C37" s="636" t="inlineStr">
        <is>
          <t>Mar</t>
        </is>
      </c>
      <c r="D37" s="513" t="n">
        <v>1</v>
      </c>
      <c r="E37" s="514" t="n">
        <v>1</v>
      </c>
      <c r="F37" s="515" t="n">
        <v>1</v>
      </c>
      <c r="G37" s="514" t="n">
        <v>1</v>
      </c>
      <c r="H37" s="517" t="n"/>
      <c r="I37" s="518" t="n"/>
      <c r="J37" s="469">
        <f>SUM(F37:I37)</f>
        <v/>
      </c>
      <c r="K37" s="469">
        <f>Table86100[[#This Row],[ขายได้ New]]+Table86100[[#This Row],[หยุดพัฒนาตามแผน]]+Table86100[[#This Row],[หยุดพัฒนานอกแผน]]</f>
        <v/>
      </c>
      <c r="L37" s="469">
        <f>Table86100[[#This Row],[ขายได้ New]]/Table86100[[#This Row],[แผนขาย New]]%</f>
        <v/>
      </c>
      <c r="M37" s="469">
        <f>Table86100[[#This Row],[ขายได้ Level Up]]/Table86100[[#This Row],[แผนขาย Level Up]]%</f>
        <v/>
      </c>
      <c r="N37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38" ht="14.25" customFormat="1" customHeight="1" s="314">
      <c r="A38" s="640" t="inlineStr">
        <is>
          <t>ข้าวเหนียว สเต็ก</t>
        </is>
      </c>
      <c r="B38" s="636" t="inlineStr">
        <is>
          <t>PMA22</t>
        </is>
      </c>
      <c r="C38" s="636" t="inlineStr">
        <is>
          <t>Mar</t>
        </is>
      </c>
      <c r="D38" s="513" t="n"/>
      <c r="E38" s="514" t="n">
        <v>1</v>
      </c>
      <c r="F38" s="515" t="n"/>
      <c r="G38" s="516" t="n">
        <v>1</v>
      </c>
      <c r="H38" s="517" t="n"/>
      <c r="I38" s="518" t="n"/>
      <c r="J38" s="469">
        <f>SUM(F38:I38)</f>
        <v/>
      </c>
      <c r="K38" s="469">
        <f>Table86100[[#This Row],[ขายได้ New]]+Table86100[[#This Row],[หยุดพัฒนาตามแผน]]+Table86100[[#This Row],[หยุดพัฒนานอกแผน]]</f>
        <v/>
      </c>
      <c r="L38" s="469" t="n"/>
      <c r="M38" s="469">
        <f>Table86100[[#This Row],[ขายได้ Level Up]]/Table86100[[#This Row],[แผนขาย Level Up]]%</f>
        <v/>
      </c>
      <c r="N38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39" ht="14.25" customFormat="1" customHeight="1" s="314">
      <c r="A39" s="640" t="inlineStr">
        <is>
          <t>เบอร์เกอร์ รองท้อง</t>
        </is>
      </c>
      <c r="B39" s="636" t="inlineStr">
        <is>
          <t>PMA02</t>
        </is>
      </c>
      <c r="C39" s="636" t="inlineStr">
        <is>
          <t>Apr</t>
        </is>
      </c>
      <c r="D39" s="513" t="n">
        <v>1</v>
      </c>
      <c r="E39" s="514" t="n"/>
      <c r="F39" s="515" t="n">
        <v>1</v>
      </c>
      <c r="G39" s="516" t="n"/>
      <c r="H39" s="517" t="n"/>
      <c r="I39" s="518" t="n"/>
      <c r="J39" s="469">
        <f>SUM(F39:I39)</f>
        <v/>
      </c>
      <c r="K39" s="469">
        <f>Table86100[[#This Row],[ขายได้ New]]+Table86100[[#This Row],[หยุดพัฒนาตามแผน]]+Table86100[[#This Row],[หยุดพัฒนานอกแผน]]</f>
        <v/>
      </c>
      <c r="L39" s="469">
        <f>Table86100[[#This Row],[ขายได้ New]]/Table86100[[#This Row],[แผนขาย New]]%</f>
        <v/>
      </c>
      <c r="M39" s="469" t="n"/>
      <c r="N39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40" ht="14.25" customFormat="1" customHeight="1" s="314">
      <c r="A40" s="640" t="inlineStr">
        <is>
          <t>เบอร์เกอร์ รองท้อง</t>
        </is>
      </c>
      <c r="B40" s="636" t="inlineStr">
        <is>
          <t>PMA08</t>
        </is>
      </c>
      <c r="C40" s="636" t="inlineStr">
        <is>
          <t>Apr</t>
        </is>
      </c>
      <c r="D40" s="513" t="n">
        <v>1</v>
      </c>
      <c r="E40" s="514" t="n">
        <v>1</v>
      </c>
      <c r="F40" s="515" t="n">
        <v>1</v>
      </c>
      <c r="G40" s="516" t="n">
        <v>1</v>
      </c>
      <c r="H40" s="517" t="n"/>
      <c r="I40" s="518" t="n"/>
      <c r="J40" s="469">
        <f>SUM(F40:I40)</f>
        <v/>
      </c>
      <c r="K40" s="469">
        <f>Table86100[[#This Row],[ขายได้ New]]+Table86100[[#This Row],[หยุดพัฒนาตามแผน]]+Table86100[[#This Row],[หยุดพัฒนานอกแผน]]</f>
        <v/>
      </c>
      <c r="L40" s="469">
        <f>Table86100[[#This Row],[ขายได้ New]]/Table86100[[#This Row],[แผนขาย New]]%</f>
        <v/>
      </c>
      <c r="M40" s="469">
        <f>Table86100[[#This Row],[ขายได้ Level Up]]/Table86100[[#This Row],[แผนขาย Level Up]]%</f>
        <v/>
      </c>
      <c r="N40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41" ht="14.25" customFormat="1" customHeight="1" s="314">
      <c r="A41" s="640" t="inlineStr">
        <is>
          <t>ข้าวเหนียว สเต็ก</t>
        </is>
      </c>
      <c r="B41" s="636" t="inlineStr">
        <is>
          <t>PMA08</t>
        </is>
      </c>
      <c r="C41" s="636" t="inlineStr">
        <is>
          <t>Apr</t>
        </is>
      </c>
      <c r="D41" s="513" t="n">
        <v>1</v>
      </c>
      <c r="E41" s="514" t="n">
        <v>1</v>
      </c>
      <c r="F41" s="515" t="n">
        <v>1</v>
      </c>
      <c r="G41" s="516" t="n">
        <v>1</v>
      </c>
      <c r="H41" s="517" t="n"/>
      <c r="I41" s="518" t="n"/>
      <c r="J41" s="469">
        <f>SUM(F41:I41)</f>
        <v/>
      </c>
      <c r="K41" s="469">
        <f>Table86100[[#This Row],[ขายได้ New]]+Table86100[[#This Row],[หยุดพัฒนาตามแผน]]+Table86100[[#This Row],[หยุดพัฒนานอกแผน]]</f>
        <v/>
      </c>
      <c r="L41" s="469">
        <f>Table86100[[#This Row],[ขายได้ New]]/Table86100[[#This Row],[แผนขาย New]]%</f>
        <v/>
      </c>
      <c r="M41" s="469" t="n"/>
      <c r="N41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42" ht="14.25" customFormat="1" customHeight="1" s="314">
      <c r="A42" s="641" t="inlineStr">
        <is>
          <t>เส้น (ข้าวไทย)</t>
        </is>
      </c>
      <c r="B42" s="636" t="inlineStr">
        <is>
          <t>PMA20</t>
        </is>
      </c>
      <c r="C42" s="636" t="inlineStr">
        <is>
          <t>Apr</t>
        </is>
      </c>
      <c r="D42" s="513" t="n">
        <v>1</v>
      </c>
      <c r="E42" s="514" t="n"/>
      <c r="F42" s="515" t="n">
        <v>1</v>
      </c>
      <c r="G42" s="516" t="n"/>
      <c r="H42" s="517" t="n"/>
      <c r="I42" s="518" t="n"/>
      <c r="J42" s="469">
        <f>SUM(F42:I42)</f>
        <v/>
      </c>
      <c r="K42" s="469">
        <f>Table86100[[#This Row],[ขายได้ New]]+Table86100[[#This Row],[หยุดพัฒนาตามแผน]]+Table86100[[#This Row],[หยุดพัฒนานอกแผน]]</f>
        <v/>
      </c>
      <c r="L42" s="469">
        <f>Table86100[[#This Row],[ขายได้ New]]/Table86100[[#This Row],[แผนขาย New]]%</f>
        <v/>
      </c>
      <c r="M42" s="469" t="n"/>
      <c r="N42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43" ht="14.25" customFormat="1" customHeight="1" s="314">
      <c r="A43" s="640" t="inlineStr">
        <is>
          <t>เส้น (ข้าวไทย)</t>
        </is>
      </c>
      <c r="B43" s="636" t="inlineStr">
        <is>
          <t>PMA19</t>
        </is>
      </c>
      <c r="C43" s="636" t="inlineStr">
        <is>
          <t>Apr</t>
        </is>
      </c>
      <c r="D43" s="513" t="n"/>
      <c r="E43" s="514" t="n">
        <v>1</v>
      </c>
      <c r="F43" s="515" t="n"/>
      <c r="G43" s="516" t="n">
        <v>1</v>
      </c>
      <c r="H43" s="517" t="n"/>
      <c r="I43" s="518" t="n"/>
      <c r="J43" s="469">
        <f>SUM(F43:I43)</f>
        <v/>
      </c>
      <c r="K43" s="469">
        <f>Table86100[[#This Row],[ขายได้ New]]+Table86100[[#This Row],[หยุดพัฒนาตามแผน]]+Table86100[[#This Row],[หยุดพัฒนานอกแผน]]</f>
        <v/>
      </c>
      <c r="L43" s="469" t="n"/>
      <c r="M43" s="469">
        <f>Table86100[[#This Row],[ขายได้ Level Up]]/Table86100[[#This Row],[แผนขาย Level Up]]%</f>
        <v/>
      </c>
      <c r="N43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44" ht="14.25" customFormat="1" customHeight="1" s="314">
      <c r="A44" s="638" t="inlineStr">
        <is>
          <t>ติ่มซำ (นึ่ง)</t>
        </is>
      </c>
      <c r="B44" s="637" t="inlineStr">
        <is>
          <t>PMA24</t>
        </is>
      </c>
      <c r="C44" s="636" t="inlineStr">
        <is>
          <t>Apr</t>
        </is>
      </c>
      <c r="D44" s="513" t="n">
        <v>1</v>
      </c>
      <c r="E44" s="514" t="n"/>
      <c r="F44" s="515" t="n">
        <v>1</v>
      </c>
      <c r="G44" s="516" t="n"/>
      <c r="H44" s="517" t="n"/>
      <c r="I44" s="518" t="n"/>
      <c r="J44" s="469">
        <f>SUM(F44:I44)</f>
        <v/>
      </c>
      <c r="K44" s="469">
        <f>Table86100[[#This Row],[ขายได้ New]]+Table86100[[#This Row],[หยุดพัฒนาตามแผน]]+Table86100[[#This Row],[หยุดพัฒนานอกแผน]]</f>
        <v/>
      </c>
      <c r="L44" s="469">
        <f>Table86100[[#This Row],[ขายได้ New]]/Table86100[[#This Row],[แผนขาย New]]%</f>
        <v/>
      </c>
      <c r="M44" s="469" t="n"/>
      <c r="N44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45" ht="14.25" customFormat="1" customHeight="1" s="314">
      <c r="A45" s="638" t="inlineStr">
        <is>
          <t>ติ่มซำ (นึ่ง)</t>
        </is>
      </c>
      <c r="B45" s="636" t="inlineStr">
        <is>
          <t>non-7</t>
        </is>
      </c>
      <c r="C45" s="636" t="inlineStr">
        <is>
          <t>Apr</t>
        </is>
      </c>
      <c r="D45" s="513" t="n">
        <v>2</v>
      </c>
      <c r="E45" s="514" t="n"/>
      <c r="F45" s="515" t="n">
        <v>2</v>
      </c>
      <c r="G45" s="516" t="n"/>
      <c r="H45" s="517" t="n"/>
      <c r="I45" s="518" t="n"/>
      <c r="J45" s="469">
        <f>SUM(F45:I45)</f>
        <v/>
      </c>
      <c r="K45" s="469">
        <f>Table86100[[#This Row],[ขายได้ New]]+Table86100[[#This Row],[หยุดพัฒนาตามแผน]]+Table86100[[#This Row],[หยุดพัฒนานอกแผน]]</f>
        <v/>
      </c>
      <c r="L45" s="469">
        <f>Table86100[[#This Row],[ขายได้ New]]/Table86100[[#This Row],[แผนขาย New]]%</f>
        <v/>
      </c>
      <c r="M45" s="469" t="n"/>
      <c r="N45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46" ht="14.25" customFormat="1" customHeight="1" s="314">
      <c r="A46" s="505" t="inlineStr">
        <is>
          <t>ติ่มซำ รองท้อง (ทอด)</t>
        </is>
      </c>
      <c r="B46" s="636" t="inlineStr">
        <is>
          <t>Export</t>
        </is>
      </c>
      <c r="C46" s="636" t="inlineStr">
        <is>
          <t>Apr</t>
        </is>
      </c>
      <c r="D46" s="513" t="n">
        <v>2</v>
      </c>
      <c r="E46" s="514" t="n"/>
      <c r="F46" s="515" t="n">
        <v>2</v>
      </c>
      <c r="G46" s="516" t="n"/>
      <c r="H46" s="517" t="n"/>
      <c r="I46" s="518" t="n">
        <v>4</v>
      </c>
      <c r="J46" s="469">
        <f>SUM(F46:I46)</f>
        <v/>
      </c>
      <c r="K46" s="469">
        <f>Table86100[[#This Row],[ขายได้ New]]+Table86100[[#This Row],[หยุดพัฒนาตามแผน]]+Table86100[[#This Row],[หยุดพัฒนานอกแผน]]</f>
        <v/>
      </c>
      <c r="L46" s="663">
        <f>Table86100[[#This Row],[ขายได้ New]]/Table86100[[#This Row],[แผนขาย New]]%</f>
        <v/>
      </c>
      <c r="M46" s="469" t="n"/>
      <c r="N46" s="664">
        <f>(Table86100[[#This Row],[ขายได้ New]]+Table86100[[#This Row],[ขายได้ Level Up]])/(Table86100[[#This Row],[แผนขาย New]]+Table86100[[#This Row],[แผนขาย Level Up]])%</f>
        <v/>
      </c>
    </row>
    <row r="47" ht="14.25" customFormat="1" customHeight="1" s="314">
      <c r="A47" s="505" t="inlineStr">
        <is>
          <t>ติ่มซำ รองท้อง (ทอด)</t>
        </is>
      </c>
      <c r="B47" s="636" t="inlineStr">
        <is>
          <t>non-7</t>
        </is>
      </c>
      <c r="C47" s="636" t="inlineStr">
        <is>
          <t>Apr</t>
        </is>
      </c>
      <c r="D47" s="513" t="n"/>
      <c r="E47" s="514" t="n"/>
      <c r="F47" s="515" t="n"/>
      <c r="G47" s="516" t="n"/>
      <c r="H47" s="517" t="n"/>
      <c r="I47" s="518" t="n">
        <v>4</v>
      </c>
      <c r="J47" s="469">
        <f>SUM(F47:I47)</f>
        <v/>
      </c>
      <c r="K47" s="469">
        <f>Table86100[[#This Row],[ขายได้ New]]+Table86100[[#This Row],[หยุดพัฒนาตามแผน]]+Table86100[[#This Row],[หยุดพัฒนานอกแผน]]</f>
        <v/>
      </c>
      <c r="L47" s="469" t="n"/>
      <c r="M47" s="469" t="n"/>
      <c r="N47" s="519" t="n"/>
    </row>
    <row r="48" ht="14.25" customFormat="1" customHeight="1" s="314">
      <c r="A48" s="640" t="inlineStr">
        <is>
          <t>กับข้าว</t>
        </is>
      </c>
      <c r="B48" s="636" t="inlineStr">
        <is>
          <t>PMA20</t>
        </is>
      </c>
      <c r="C48" s="636" t="inlineStr">
        <is>
          <t>Apr</t>
        </is>
      </c>
      <c r="D48" s="513" t="n">
        <v>1</v>
      </c>
      <c r="E48" s="514" t="n"/>
      <c r="F48" s="515" t="n">
        <v>1</v>
      </c>
      <c r="G48" s="516" t="n"/>
      <c r="H48" s="517" t="n"/>
      <c r="I48" s="518" t="n"/>
      <c r="J48" s="469">
        <f>SUM(F48:I48)</f>
        <v/>
      </c>
      <c r="K48" s="469">
        <f>Table86100[[#This Row],[ขายได้ New]]+Table86100[[#This Row],[หยุดพัฒนาตามแผน]]+Table86100[[#This Row],[หยุดพัฒนานอกแผน]]</f>
        <v/>
      </c>
      <c r="L48" s="469">
        <f>Table86100[[#This Row],[ขายได้ New]]/Table86100[[#This Row],[แผนขาย New]]%</f>
        <v/>
      </c>
      <c r="M48" s="469" t="n"/>
      <c r="N48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49" ht="14.25" customFormat="1" customHeight="1" s="314">
      <c r="A49" s="640" t="inlineStr">
        <is>
          <t>ข้าวและกับข้าว</t>
        </is>
      </c>
      <c r="B49" s="636" t="inlineStr">
        <is>
          <t>PMA20</t>
        </is>
      </c>
      <c r="C49" s="636" t="inlineStr">
        <is>
          <t>Apr</t>
        </is>
      </c>
      <c r="D49" s="513" t="n"/>
      <c r="E49" s="514" t="n">
        <v>2</v>
      </c>
      <c r="F49" s="515" t="n"/>
      <c r="G49" s="516" t="n">
        <v>2</v>
      </c>
      <c r="H49" s="517" t="n"/>
      <c r="I49" s="518" t="n"/>
      <c r="J49" s="469">
        <f>SUM(F49:I49)</f>
        <v/>
      </c>
      <c r="K49" s="469">
        <f>Table86100[[#This Row],[ขายได้ New]]+Table86100[[#This Row],[หยุดพัฒนาตามแผน]]+Table86100[[#This Row],[หยุดพัฒนานอกแผน]]</f>
        <v/>
      </c>
      <c r="L49" s="469" t="n"/>
      <c r="M49" s="469">
        <f>Table86100[[#This Row],[ขายได้ Level Up]]/Table86100[[#This Row],[แผนขาย Level Up]]%</f>
        <v/>
      </c>
      <c r="N49" s="519">
        <f>(Table86100[[#This Row],[ขายได้ New]]+Table86100[[#This Row],[ขายได้ Level Up]])/(Table86100[[#This Row],[แผนขาย New]]+Table86100[[#This Row],[แผนขาย Level Up]])%</f>
        <v/>
      </c>
    </row>
    <row r="50">
      <c r="A50" s="342" t="inlineStr">
        <is>
          <t>Total</t>
        </is>
      </c>
      <c r="B50" s="347" t="n"/>
      <c r="C50" s="347" t="n"/>
      <c r="D50" s="374">
        <f>SUBTOTAL(109,Table86100[แผนขาย New])</f>
        <v/>
      </c>
      <c r="E50" s="368">
        <f>SUBTOTAL(109,Table86100[แผนขาย Level Up])</f>
        <v/>
      </c>
      <c r="F50" s="377">
        <f>SUBTOTAL(109,Table86100[ขายได้ New])</f>
        <v/>
      </c>
      <c r="G50" s="371">
        <f>SUBTOTAL(109,Table86100[ขายได้ Level Up])</f>
        <v/>
      </c>
      <c r="H50" s="348">
        <f>SUBTOTAL(109,Table86100[หยุดพัฒนาตามแผน])</f>
        <v/>
      </c>
      <c r="I50" s="698">
        <f>SUBTOTAL(109,Table86100[หยุดพัฒนานอกแผน])</f>
        <v/>
      </c>
      <c r="J50" s="50">
        <f>SUBTOTAL(109,Table86100[พัฒนาทั้งหมด])</f>
        <v/>
      </c>
      <c r="K50" s="50">
        <f>SUBTOTAL(109,Table86100[พัฒนาทั้งหมด
(ไม่รวม Level Up)])</f>
        <v/>
      </c>
      <c r="L50" s="349">
        <f>Table86100[[#Totals],[ขายได้ New]]/Table86100[[#Totals],[แผนขาย New]]%</f>
        <v/>
      </c>
      <c r="M50" s="349">
        <f>Table86100[[#Totals],[ขายได้ Level Up]]/Table86100[[#Totals],[แผนขาย Level Up]]%</f>
        <v/>
      </c>
      <c r="N50" s="350">
        <f>(Table86100[[#Totals],[ขายได้ New]]+Table86100[[#Totals],[ขายได้ Level Up]])/(Table86100[[#Totals],[แผนขาย New]]+Table86100[[#Totals],[แผนขาย Level Up]])%</f>
        <v/>
      </c>
    </row>
    <row r="51">
      <c r="D51" s="520" t="n"/>
      <c r="E51" s="520" t="n"/>
      <c r="F51" s="5" t="n"/>
      <c r="G51" s="5" t="n"/>
      <c r="H51" s="5" t="n"/>
      <c r="I51" s="5" t="n"/>
      <c r="J51" s="5" t="n"/>
      <c r="K51" s="5" t="n"/>
      <c r="L51" s="431" t="n"/>
      <c r="M51" s="431" t="n"/>
      <c r="N51" s="431" t="n"/>
    </row>
    <row r="52">
      <c r="D52" s="520" t="n"/>
      <c r="E52" s="520" t="n"/>
      <c r="F52" s="5" t="n"/>
      <c r="G52" s="5" t="n"/>
      <c r="H52" s="5" t="n"/>
      <c r="I52" s="5" t="n"/>
      <c r="J52" s="5" t="n"/>
      <c r="K52" s="5" t="n"/>
      <c r="L52" s="431" t="n"/>
      <c r="M52" s="431" t="n"/>
      <c r="N52" s="431" t="n"/>
    </row>
    <row r="53">
      <c r="D53" s="520" t="n"/>
      <c r="E53" s="520" t="n"/>
      <c r="F53" s="5" t="n"/>
      <c r="G53" s="5" t="n"/>
      <c r="H53" s="5" t="n"/>
      <c r="I53" s="5" t="n"/>
      <c r="J53" s="5" t="n"/>
      <c r="K53" s="5" t="n"/>
      <c r="L53" s="431" t="n"/>
      <c r="M53" s="431" t="n"/>
      <c r="N53" s="431" t="n"/>
    </row>
    <row r="56">
      <c r="E56" t="inlineStr">
        <is>
          <t>  </t>
        </is>
      </c>
    </row>
  </sheetData>
  <pageMargins left="0.7" right="0.7" top="0.75" bottom="0.75" header="0.3" footer="0.3"/>
  <pageSetup orientation="landscape" paperSize="9" scale="49" fitToHeight="0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A1:H20"/>
  <sheetViews>
    <sheetView zoomScaleNormal="100" workbookViewId="0">
      <selection activeCell="C10" sqref="C10"/>
    </sheetView>
  </sheetViews>
  <sheetFormatPr baseColWidth="8" defaultRowHeight="14.25"/>
  <cols>
    <col width="17.625" customWidth="1" style="309" min="1" max="1"/>
    <col width="8.25" customWidth="1" style="309" min="2" max="2"/>
    <col width="21" customWidth="1" style="309" min="3" max="3"/>
    <col width="37" customWidth="1" style="309" min="4" max="4"/>
    <col width="7.375" customWidth="1" style="313" min="5" max="5"/>
    <col width="8.375" customWidth="1" style="313" min="6" max="6"/>
    <col width="46.875" customWidth="1" style="309" min="7" max="7"/>
    <col width="54.25" customWidth="1" style="309" min="8" max="8"/>
  </cols>
  <sheetData>
    <row r="1" ht="48" customHeight="1">
      <c r="A1" s="308" t="inlineStr">
        <is>
          <t>กลุ่มสินค้า</t>
        </is>
      </c>
      <c r="B1" s="414" t="inlineStr">
        <is>
          <t>ตลาด</t>
        </is>
      </c>
      <c r="C1" s="415" t="inlineStr">
        <is>
          <t>ส่งออกและ non7 ให้ใส่ชื่อลูกค้าด้วย</t>
        </is>
      </c>
      <c r="D1" s="310" t="inlineStr">
        <is>
          <t>ชื่อสินค้า</t>
        </is>
      </c>
      <c r="E1" s="307" t="inlineStr">
        <is>
          <t>ตาม/นอกแผน</t>
        </is>
      </c>
      <c r="F1" s="307" t="inlineStr">
        <is>
          <t>เดือนที่หยุดพัฒนา</t>
        </is>
      </c>
      <c r="G1" s="311" t="inlineStr">
        <is>
          <t>สาเหตุ</t>
        </is>
      </c>
      <c r="H1" s="311" t="inlineStr">
        <is>
          <t>เนื่องจาก</t>
        </is>
      </c>
    </row>
    <row r="2" ht="15" customHeight="1">
      <c r="A2" s="505" t="inlineStr">
        <is>
          <t>ติ่มซำ รองท้อง (ทอด)</t>
        </is>
      </c>
      <c r="B2" s="506" t="inlineStr">
        <is>
          <t>Export</t>
        </is>
      </c>
      <c r="C2" s="500" t="inlineStr">
        <is>
          <t>Ksiaa GmbH</t>
        </is>
      </c>
      <c r="D2" s="327" t="inlineStr">
        <is>
          <t>Tori Katsu</t>
        </is>
      </c>
      <c r="E2" s="328" t="inlineStr">
        <is>
          <t>นอกแผน</t>
        </is>
      </c>
      <c r="F2" s="507" t="inlineStr">
        <is>
          <t>Jan</t>
        </is>
      </c>
      <c r="G2" s="312" t="inlineStr">
        <is>
          <t>Merหรือลูกค้าขอยกเลิก</t>
        </is>
      </c>
      <c r="H2" s="508" t="inlineStr">
        <is>
          <t>5.1 เพราะราคา RM สูง ทำให้ราคาขายสูง</t>
        </is>
      </c>
    </row>
    <row r="3" ht="15" customHeight="1">
      <c r="A3" s="387" t="inlineStr">
        <is>
          <t xml:space="preserve">เส้น (แป้งสาลี) ซุป </t>
        </is>
      </c>
      <c r="B3" s="635" t="inlineStr">
        <is>
          <t>PMA20</t>
        </is>
      </c>
      <c r="C3" s="327" t="n"/>
      <c r="D3" s="327" t="inlineStr">
        <is>
          <t>อุด้งหมูผัดกิมจิ 240 กรัม</t>
        </is>
      </c>
      <c r="E3" s="328" t="inlineStr">
        <is>
          <t>นอกแผน</t>
        </is>
      </c>
      <c r="F3" s="328" t="inlineStr">
        <is>
          <t>May</t>
        </is>
      </c>
      <c r="G3" s="312" t="inlineStr">
        <is>
          <t>Merหรือลูกค้าขอยกเลิก</t>
        </is>
      </c>
      <c r="H3" s="508" t="inlineStr">
        <is>
          <t>5.1 เพราะราคา RM สูง ทำให้ราคาขายสูง</t>
        </is>
      </c>
    </row>
    <row r="4" ht="15" customHeight="1">
      <c r="A4" s="505" t="inlineStr">
        <is>
          <t>ติ่มซำ รองท้อง (ทอด)</t>
        </is>
      </c>
      <c r="B4" s="506" t="inlineStr">
        <is>
          <t>non-7</t>
        </is>
      </c>
      <c r="C4" s="327" t="inlineStr">
        <is>
          <t>MAKRO</t>
        </is>
      </c>
      <c r="D4" s="327" t="inlineStr">
        <is>
          <t>ซาโมซ่าไส้เผือก</t>
        </is>
      </c>
      <c r="E4" s="328" t="inlineStr">
        <is>
          <t>นอกแผน</t>
        </is>
      </c>
      <c r="F4" s="328" t="inlineStr">
        <is>
          <t>Apr</t>
        </is>
      </c>
      <c r="G4" s="312" t="inlineStr">
        <is>
          <t>Merหรือลูกค้าขอยกเลิก</t>
        </is>
      </c>
      <c r="H4" s="508" t="inlineStr">
        <is>
          <t>5.1 เพราะราคา RM สูง ทำให้ราคาขายสูง</t>
        </is>
      </c>
    </row>
    <row r="5" ht="15" customHeight="1">
      <c r="A5" s="567" t="inlineStr">
        <is>
          <t>ติ่มซำ รองท้อง (ทอด)</t>
        </is>
      </c>
      <c r="B5" s="568" t="inlineStr">
        <is>
          <t>non-7</t>
        </is>
      </c>
      <c r="C5" s="327" t="inlineStr">
        <is>
          <t>MAKRO</t>
        </is>
      </c>
      <c r="D5" s="327" t="inlineStr">
        <is>
          <t>ซาโมซ่าไส้ครีมชีส</t>
        </is>
      </c>
      <c r="E5" s="328" t="inlineStr">
        <is>
          <t>นอกแผน</t>
        </is>
      </c>
      <c r="F5" s="328" t="inlineStr">
        <is>
          <t>Apr</t>
        </is>
      </c>
      <c r="G5" s="312" t="inlineStr">
        <is>
          <t>Merหรือลูกค้าขอยกเลิก</t>
        </is>
      </c>
      <c r="H5" s="508" t="inlineStr">
        <is>
          <t>5.1 เพราะราคา RM สูง ทำให้ราคาขายสูง</t>
        </is>
      </c>
    </row>
    <row r="6" ht="15" customHeight="1">
      <c r="A6" s="505" t="inlineStr">
        <is>
          <t>ติ่มซำ รองท้อง (ทอด)</t>
        </is>
      </c>
      <c r="B6" s="506" t="inlineStr">
        <is>
          <t>non-7</t>
        </is>
      </c>
      <c r="C6" s="327" t="inlineStr">
        <is>
          <t>MAKRO</t>
        </is>
      </c>
      <c r="D6" s="327" t="inlineStr">
        <is>
          <t>ซาโมซ่าไส้เผือกโมจิ</t>
        </is>
      </c>
      <c r="E6" s="328" t="inlineStr">
        <is>
          <t>นอกแผน</t>
        </is>
      </c>
      <c r="F6" s="328" t="inlineStr">
        <is>
          <t>Apr</t>
        </is>
      </c>
      <c r="G6" s="312" t="inlineStr">
        <is>
          <t>Merหรือลูกค้าขอยกเลิก</t>
        </is>
      </c>
      <c r="H6" s="508" t="inlineStr">
        <is>
          <t>5.1 เพราะราคา RM สูง ทำให้ราคาขายสูง</t>
        </is>
      </c>
    </row>
    <row r="7" ht="15" customHeight="1">
      <c r="A7" s="567" t="inlineStr">
        <is>
          <t>ติ่มซำ รองท้อง (ทอด)</t>
        </is>
      </c>
      <c r="B7" s="568" t="inlineStr">
        <is>
          <t>non-7</t>
        </is>
      </c>
      <c r="C7" s="327" t="inlineStr">
        <is>
          <t>MAKRO</t>
        </is>
      </c>
      <c r="D7" s="327" t="inlineStr">
        <is>
          <t>ซาโมซ่าไส้เผือกกล้วย</t>
        </is>
      </c>
      <c r="E7" s="328" t="inlineStr">
        <is>
          <t>นอกแผน</t>
        </is>
      </c>
      <c r="F7" s="328" t="inlineStr">
        <is>
          <t>Apr</t>
        </is>
      </c>
      <c r="G7" s="312" t="inlineStr">
        <is>
          <t>Merหรือลูกค้าขอยกเลิก</t>
        </is>
      </c>
      <c r="H7" s="508" t="inlineStr">
        <is>
          <t>5.1 เพราะราคา RM สูง ทำให้ราคาขายสูง</t>
        </is>
      </c>
    </row>
    <row r="8" ht="15" customHeight="1">
      <c r="A8" s="505" t="inlineStr">
        <is>
          <t>ติ่มซำ รองท้อง (ทอด)</t>
        </is>
      </c>
      <c r="B8" s="506" t="inlineStr">
        <is>
          <t>Export</t>
        </is>
      </c>
      <c r="C8" s="327" t="inlineStr">
        <is>
          <t>Westbridge (TESCO)</t>
        </is>
      </c>
      <c r="D8" s="327" t="inlineStr">
        <is>
          <t>Banana Cinnamon Parcel</t>
        </is>
      </c>
      <c r="E8" s="328" t="inlineStr">
        <is>
          <t>นอกแผน</t>
        </is>
      </c>
      <c r="F8" s="328" t="inlineStr">
        <is>
          <t>Apr</t>
        </is>
      </c>
      <c r="G8" s="312" t="inlineStr">
        <is>
          <t>Merหรือลูกค้าขอยกเลิก</t>
        </is>
      </c>
      <c r="H8" s="508" t="inlineStr">
        <is>
          <t>5.1 เพราะราคา RM สูง ทำให้ราคาขายสูง</t>
        </is>
      </c>
    </row>
    <row r="9" ht="15" customHeight="1">
      <c r="A9" s="567" t="inlineStr">
        <is>
          <t>ติ่มซำ รองท้อง (ทอด)</t>
        </is>
      </c>
      <c r="B9" s="568" t="inlineStr">
        <is>
          <t>Export</t>
        </is>
      </c>
      <c r="C9" s="327" t="inlineStr">
        <is>
          <t>Westbridge (TESCO)</t>
        </is>
      </c>
      <c r="D9" s="327" t="inlineStr">
        <is>
          <t>Tofu-Wrapped Prawn</t>
        </is>
      </c>
      <c r="E9" s="328" t="inlineStr">
        <is>
          <t>นอกแผน</t>
        </is>
      </c>
      <c r="F9" s="328" t="inlineStr">
        <is>
          <t>Apr</t>
        </is>
      </c>
      <c r="G9" s="312" t="inlineStr">
        <is>
          <t>Merหรือลูกค้าขอยกเลิก</t>
        </is>
      </c>
      <c r="H9" s="508" t="inlineStr">
        <is>
          <t>5.1 เพราะราคา RM สูง ทำให้ราคาขายสูง</t>
        </is>
      </c>
    </row>
    <row r="10" ht="15" customHeight="1">
      <c r="A10" s="505" t="inlineStr">
        <is>
          <t>ติ่มซำ รองท้อง (ทอด)</t>
        </is>
      </c>
      <c r="B10" s="506" t="inlineStr">
        <is>
          <t>Export</t>
        </is>
      </c>
      <c r="C10" s="327" t="inlineStr">
        <is>
          <t>Westbridge (TESCO)</t>
        </is>
      </c>
      <c r="D10" s="327" t="inlineStr">
        <is>
          <t>Mango Sticky Rice Spring Roll</t>
        </is>
      </c>
      <c r="E10" s="328" t="inlineStr">
        <is>
          <t>นอกแผน</t>
        </is>
      </c>
      <c r="F10" s="328" t="inlineStr">
        <is>
          <t>Apr</t>
        </is>
      </c>
      <c r="G10" s="312" t="inlineStr">
        <is>
          <t>Merหรือลูกค้าขอยกเลิก</t>
        </is>
      </c>
      <c r="H10" s="508" t="inlineStr">
        <is>
          <t>5.1 เพราะราคา RM สูง ทำให้ราคาขายสูง</t>
        </is>
      </c>
    </row>
    <row r="11" ht="15" customHeight="1">
      <c r="A11" s="597" t="inlineStr">
        <is>
          <t>ติ่มซำ รองท้อง (ทอด)</t>
        </is>
      </c>
      <c r="B11" s="598" t="inlineStr">
        <is>
          <t>Export</t>
        </is>
      </c>
      <c r="C11" s="599" t="inlineStr">
        <is>
          <t>Westbridge for Aldi</t>
        </is>
      </c>
      <c r="D11" s="327" t="inlineStr">
        <is>
          <t>Crispy Stay Chicken Gyoza</t>
        </is>
      </c>
      <c r="E11" s="328" t="inlineStr">
        <is>
          <t>นอกแผน</t>
        </is>
      </c>
      <c r="F11" s="328" t="inlineStr">
        <is>
          <t>Apr</t>
        </is>
      </c>
      <c r="G11" s="312" t="inlineStr">
        <is>
          <t>Merหรือลูกค้าขอยกเลิก</t>
        </is>
      </c>
      <c r="H11" s="508" t="inlineStr">
        <is>
          <t>5.1 เพราะราคา RM สูง ทำให้ราคาขายสูง</t>
        </is>
      </c>
    </row>
    <row r="12" ht="15" customHeight="1">
      <c r="A12" s="592" t="n"/>
      <c r="B12" s="593" t="n"/>
      <c r="C12" s="594" t="n"/>
      <c r="D12" s="533" t="n"/>
      <c r="E12" s="534" t="n"/>
      <c r="F12" s="534" t="n"/>
      <c r="G12" s="535" t="n"/>
      <c r="H12" s="535" t="n"/>
    </row>
    <row r="13" ht="15" customHeight="1">
      <c r="A13" s="595" t="n"/>
      <c r="B13" s="416" t="n"/>
      <c r="C13" s="416" t="n"/>
      <c r="D13" s="329" t="n"/>
      <c r="E13" s="328" t="n"/>
      <c r="F13" s="328" t="n"/>
      <c r="G13" s="326" t="n"/>
      <c r="H13" s="326" t="n"/>
    </row>
    <row r="14" ht="15" customHeight="1">
      <c r="A14" s="596" t="n"/>
      <c r="B14" s="594" t="n"/>
      <c r="C14" s="594" t="n"/>
      <c r="D14" s="533" t="n"/>
      <c r="E14" s="534" t="n"/>
      <c r="F14" s="534" t="n"/>
      <c r="G14" s="535" t="n"/>
      <c r="H14" s="535" t="n"/>
    </row>
    <row r="15" ht="15" customHeight="1">
      <c r="A15" s="595" t="n"/>
      <c r="B15" s="416" t="n"/>
      <c r="C15" s="416" t="n"/>
      <c r="D15" s="329" t="n"/>
      <c r="E15" s="328" t="n"/>
      <c r="F15" s="328" t="n"/>
      <c r="G15" s="326" t="n"/>
      <c r="H15" s="326" t="n"/>
    </row>
    <row r="16" ht="15" customHeight="1">
      <c r="A16" s="596" t="n"/>
      <c r="B16" s="594" t="n"/>
      <c r="C16" s="594" t="n"/>
      <c r="D16" s="533" t="n"/>
      <c r="E16" s="534" t="n"/>
      <c r="F16" s="534" t="n"/>
      <c r="G16" s="535" t="n"/>
      <c r="H16" s="535" t="n"/>
    </row>
    <row r="17" ht="15" customHeight="1">
      <c r="A17" s="600" t="n"/>
      <c r="B17" s="423" t="n"/>
      <c r="C17" s="601" t="n"/>
      <c r="D17" s="327" t="n"/>
      <c r="E17" s="328" t="n"/>
      <c r="F17" s="328" t="n"/>
      <c r="G17" s="312" t="n"/>
      <c r="H17" s="326" t="n"/>
    </row>
    <row r="18">
      <c r="A18" s="452" t="inlineStr">
        <is>
          <t>Total</t>
        </is>
      </c>
      <c r="B18" s="453" t="n"/>
      <c r="C18" s="454" t="n"/>
      <c r="D18" s="455">
        <f>SUBTOTAL(103,Table31[ชื่อสินค้า])</f>
        <v/>
      </c>
      <c r="E18" s="456">
        <f>SUBTOTAL(103,Table31[ตาม/นอกแผน])</f>
        <v/>
      </c>
      <c r="F18" s="457" t="n"/>
      <c r="G18" s="458">
        <f>SUBTOTAL(103,Table31[สาเหตุ])</f>
        <v/>
      </c>
      <c r="H18" s="459">
        <f>SUBTOTAL(103,Table31[เนื่องจาก])</f>
        <v/>
      </c>
    </row>
    <row r="19">
      <c r="A19" s="330" t="n"/>
      <c r="B19" s="331" t="n"/>
      <c r="C19" s="331" t="n"/>
      <c r="D19" s="332" t="n"/>
      <c r="E19" s="333" t="n"/>
      <c r="F19" s="333" t="n"/>
      <c r="G19" s="332" t="n"/>
      <c r="H19" s="332" t="n"/>
    </row>
    <row r="20">
      <c r="A20" s="330" t="n"/>
      <c r="B20" s="331" t="n"/>
      <c r="C20" s="331" t="n"/>
      <c r="D20" s="332" t="n"/>
      <c r="E20" s="333" t="n"/>
      <c r="F20" s="333" t="n"/>
      <c r="G20" s="332" t="n"/>
      <c r="H20" s="332" t="n"/>
    </row>
  </sheetData>
  <conditionalFormatting sqref="E2:E17">
    <cfRule type="cellIs" priority="1" operator="equal" dxfId="216">
      <formula>"นอกแผน"</formula>
    </cfRule>
    <cfRule type="cellIs" priority="4" operator="equal" dxfId="215">
      <formula>"ตามแผน"</formula>
    </cfRule>
  </conditionalFormatting>
  <dataValidations count="1">
    <dataValidation sqref="H2:H17" showDropDown="0" showInputMessage="1" showErrorMessage="1" allowBlank="1" type="list">
      <formula1>INDIRECT(G2)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" sqref="D1"/>
    </sheetView>
  </sheetViews>
  <sheetFormatPr baseColWidth="8" defaultRowHeight="14.25"/>
  <cols>
    <col width="12.75" customWidth="1" min="1" max="1"/>
    <col width="10.75" customWidth="1" min="2" max="2"/>
    <col width="10.25" customWidth="1" min="3" max="3"/>
    <col width="23.25" bestFit="1" customWidth="1" min="4" max="4"/>
  </cols>
  <sheetData>
    <row r="1">
      <c r="A1" s="501" t="inlineStr">
        <is>
          <t>Checklist</t>
        </is>
      </c>
      <c r="B1" s="502" t="n"/>
      <c r="C1" s="502" t="n"/>
      <c r="D1" s="503" t="inlineStr">
        <is>
          <t>Jan</t>
        </is>
      </c>
    </row>
    <row r="2">
      <c r="A2" t="inlineStr">
        <is>
          <t>ติ่มซำ 7-11</t>
        </is>
      </c>
      <c r="B2" t="inlineStr">
        <is>
          <t>PMA24</t>
        </is>
      </c>
      <c r="C2" t="inlineStr">
        <is>
          <t>เน</t>
        </is>
      </c>
      <c r="D2" t="inlineStr">
        <is>
          <t>ครบ New=4</t>
        </is>
      </c>
    </row>
    <row r="3">
      <c r="A3" t="inlineStr">
        <is>
          <t>ติ่มซำ ส่งออก</t>
        </is>
      </c>
      <c r="B3" t="inlineStr">
        <is>
          <t>PMA24</t>
        </is>
      </c>
      <c r="C3" t="inlineStr">
        <is>
          <t>พี่นิค</t>
        </is>
      </c>
      <c r="D3" t="inlineStr">
        <is>
          <t>ไม่มี</t>
        </is>
      </c>
    </row>
    <row r="4">
      <c r="A4" t="inlineStr">
        <is>
          <t>BG รองท้อง</t>
        </is>
      </c>
      <c r="B4" t="inlineStr">
        <is>
          <t>PMA02,08</t>
        </is>
      </c>
      <c r="C4" t="inlineStr">
        <is>
          <t>เปิ้ล</t>
        </is>
      </c>
      <c r="D4" t="inlineStr">
        <is>
          <t>ครบ New=4, LV=3</t>
        </is>
      </c>
    </row>
    <row r="5">
      <c r="A5" t="inlineStr">
        <is>
          <t>สลัด</t>
        </is>
      </c>
      <c r="B5" t="inlineStr">
        <is>
          <t>PMA16</t>
        </is>
      </c>
      <c r="C5" t="inlineStr">
        <is>
          <t>มายด์</t>
        </is>
      </c>
      <c r="D5" t="inlineStr">
        <is>
          <t>New=1</t>
        </is>
      </c>
    </row>
    <row r="6">
      <c r="A6" t="inlineStr">
        <is>
          <t>Frozen</t>
        </is>
      </c>
      <c r="B6" t="inlineStr">
        <is>
          <t>PMA20</t>
        </is>
      </c>
      <c r="C6" t="inlineStr">
        <is>
          <t>พี่ี่ผึ้ง/พี่แพท</t>
        </is>
      </c>
      <c r="D6" t="inlineStr">
        <is>
          <t>ครบ LV=1</t>
        </is>
      </c>
    </row>
    <row r="7">
      <c r="A7" t="inlineStr">
        <is>
          <t xml:space="preserve">Chilled </t>
        </is>
      </c>
      <c r="B7" t="inlineStr">
        <is>
          <t>PMA19</t>
        </is>
      </c>
      <c r="C7" t="inlineStr">
        <is>
          <t>แตงกวา</t>
        </is>
      </c>
      <c r="D7" s="378" t="inlineStr">
        <is>
          <t>New=2, LV=4</t>
        </is>
      </c>
    </row>
    <row r="8">
      <c r="A8" t="inlineStr">
        <is>
          <t>ข้าวปั้น</t>
        </is>
      </c>
      <c r="B8" t="inlineStr">
        <is>
          <t>PMA19</t>
        </is>
      </c>
      <c r="C8" t="inlineStr">
        <is>
          <t>หมิว</t>
        </is>
      </c>
      <c r="D8" t="inlineStr">
        <is>
          <t>New=1</t>
        </is>
      </c>
    </row>
    <row r="9">
      <c r="A9" t="inlineStr">
        <is>
          <t>โครงการพิเศษ</t>
        </is>
      </c>
      <c r="C9" t="inlineStr">
        <is>
          <t>พี่อ๊อก</t>
        </is>
      </c>
      <c r="D9" t="inlineStr">
        <is>
          <t>ไม่มี</t>
        </is>
      </c>
    </row>
    <row r="10">
      <c r="A10" t="inlineStr">
        <is>
          <t>ทอด</t>
        </is>
      </c>
      <c r="C10" t="inlineStr">
        <is>
          <t>พี่ยุ้ย</t>
        </is>
      </c>
      <c r="D10" t="inlineStr">
        <is>
          <t>ไม่มี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K16"/>
  <sheetViews>
    <sheetView topLeftCell="A16" workbookViewId="0">
      <selection activeCell="K28" sqref="K28"/>
    </sheetView>
  </sheetViews>
  <sheetFormatPr baseColWidth="8" defaultRowHeight="14.25"/>
  <cols>
    <col width="18.125" bestFit="1" customWidth="1" min="1" max="1"/>
    <col width="17.75" bestFit="1" customWidth="1" min="2" max="2"/>
    <col width="15.875" bestFit="1" customWidth="1" min="3" max="3"/>
    <col width="12.625" bestFit="1" customWidth="1" min="4" max="4"/>
    <col width="15.875" bestFit="1" customWidth="1" min="5" max="5"/>
    <col width="12.625" bestFit="1" customWidth="1" min="6" max="6"/>
    <col width="15.875" bestFit="1" customWidth="1" min="7" max="7"/>
    <col width="12.625" bestFit="1" customWidth="1" min="8" max="8"/>
    <col width="15.875" bestFit="1" customWidth="1" min="9" max="9"/>
    <col width="18.125" bestFit="1" customWidth="1" min="10" max="10"/>
    <col width="21.5" bestFit="1" customWidth="1" min="11" max="11"/>
  </cols>
  <sheetData>
    <row r="1">
      <c r="A1" s="662" t="inlineStr">
        <is>
          <t>ตลาด</t>
        </is>
      </c>
      <c r="B1" t="inlineStr">
        <is>
          <t>(All)</t>
        </is>
      </c>
    </row>
    <row r="3">
      <c r="B3" s="662" t="inlineStr">
        <is>
          <t>Column Labels</t>
        </is>
      </c>
    </row>
    <row r="4">
      <c r="B4" t="inlineStr">
        <is>
          <t>Jan</t>
        </is>
      </c>
      <c r="D4" t="inlineStr">
        <is>
          <t>Feb</t>
        </is>
      </c>
      <c r="F4" t="inlineStr">
        <is>
          <t>Mar</t>
        </is>
      </c>
      <c r="H4" t="inlineStr">
        <is>
          <t>Apr</t>
        </is>
      </c>
      <c r="J4" t="inlineStr">
        <is>
          <t>Total Sum of New</t>
        </is>
      </c>
      <c r="K4" t="inlineStr">
        <is>
          <t>Total Sum of Level
Up</t>
        </is>
      </c>
    </row>
    <row r="5">
      <c r="A5" s="662" t="inlineStr">
        <is>
          <t>Row Labels</t>
        </is>
      </c>
      <c r="B5" t="inlineStr">
        <is>
          <t>Sum of New</t>
        </is>
      </c>
      <c r="C5" t="inlineStr">
        <is>
          <t>Sum of Level
Up</t>
        </is>
      </c>
      <c r="D5" t="inlineStr">
        <is>
          <t>Sum of New</t>
        </is>
      </c>
      <c r="E5" t="inlineStr">
        <is>
          <t>Sum of Level
Up</t>
        </is>
      </c>
      <c r="F5" t="inlineStr">
        <is>
          <t>Sum of New</t>
        </is>
      </c>
      <c r="G5" t="inlineStr">
        <is>
          <t>Sum of Level
Up</t>
        </is>
      </c>
      <c r="H5" t="inlineStr">
        <is>
          <t>Sum of New</t>
        </is>
      </c>
      <c r="I5" t="inlineStr">
        <is>
          <t>Sum of Level
Up</t>
        </is>
      </c>
    </row>
    <row r="6">
      <c r="A6" s="27" t="inlineStr">
        <is>
          <t>กับข้าว</t>
        </is>
      </c>
      <c r="C6" t="n">
        <v>2</v>
      </c>
      <c r="D6" t="n">
        <v>2</v>
      </c>
      <c r="E6" t="n">
        <v>1</v>
      </c>
      <c r="H6" t="n">
        <v>1</v>
      </c>
      <c r="J6" t="n">
        <v>3</v>
      </c>
      <c r="K6" t="n">
        <v>3</v>
      </c>
    </row>
    <row r="7">
      <c r="A7" s="27" t="inlineStr">
        <is>
          <t>ข้าวปั้น เครื่องเคียง</t>
        </is>
      </c>
      <c r="B7" t="n">
        <v>1</v>
      </c>
      <c r="E7" t="n">
        <v>1</v>
      </c>
      <c r="F7" t="n">
        <v>1</v>
      </c>
      <c r="G7" t="n">
        <v>2</v>
      </c>
      <c r="J7" t="n">
        <v>2</v>
      </c>
      <c r="K7" t="n">
        <v>3</v>
      </c>
    </row>
    <row r="8">
      <c r="A8" s="27" t="inlineStr">
        <is>
          <t>ข้าวและกับข้าว</t>
        </is>
      </c>
      <c r="B8" t="n">
        <v>2</v>
      </c>
      <c r="C8" t="n">
        <v>3</v>
      </c>
      <c r="E8" t="n">
        <v>1</v>
      </c>
      <c r="G8" t="n">
        <v>3</v>
      </c>
      <c r="I8" t="n">
        <v>2</v>
      </c>
      <c r="J8" t="n">
        <v>2</v>
      </c>
      <c r="K8" t="n">
        <v>9</v>
      </c>
    </row>
    <row r="9">
      <c r="A9" s="27" t="inlineStr">
        <is>
          <t>ข้าวเหนียว สเต็ก</t>
        </is>
      </c>
      <c r="B9" t="n">
        <v>1</v>
      </c>
      <c r="C9" t="n">
        <v>1</v>
      </c>
      <c r="D9" t="n">
        <v>2</v>
      </c>
      <c r="F9" t="n">
        <v>1</v>
      </c>
      <c r="G9" t="n">
        <v>2</v>
      </c>
      <c r="H9" t="n">
        <v>1</v>
      </c>
      <c r="I9" t="n">
        <v>1</v>
      </c>
      <c r="J9" t="n">
        <v>5</v>
      </c>
      <c r="K9" t="n">
        <v>4</v>
      </c>
    </row>
    <row r="10">
      <c r="A10" s="27" t="inlineStr">
        <is>
          <t>ติ่มซำ (นึ่ง)</t>
        </is>
      </c>
      <c r="B10" t="n">
        <v>6</v>
      </c>
      <c r="D10" t="n">
        <v>4</v>
      </c>
      <c r="E10" t="n">
        <v>1</v>
      </c>
      <c r="F10" t="n">
        <v>4</v>
      </c>
      <c r="H10" t="n">
        <v>3</v>
      </c>
      <c r="J10" t="n">
        <v>17</v>
      </c>
      <c r="K10" t="n">
        <v>1</v>
      </c>
    </row>
    <row r="11">
      <c r="A11" s="27" t="inlineStr">
        <is>
          <t>ติ่มซำ รองท้อง (ทอด)</t>
        </is>
      </c>
      <c r="H11" t="n">
        <v>2</v>
      </c>
      <c r="J11" t="n">
        <v>2</v>
      </c>
    </row>
    <row r="12">
      <c r="A12" s="27" t="inlineStr">
        <is>
          <t>เบอร์เกอร์ รองท้อง</t>
        </is>
      </c>
      <c r="B12" t="n">
        <v>3</v>
      </c>
      <c r="C12" t="n">
        <v>2</v>
      </c>
      <c r="D12" t="n">
        <v>1</v>
      </c>
      <c r="E12" t="n">
        <v>2</v>
      </c>
      <c r="F12" t="n">
        <v>3</v>
      </c>
      <c r="G12" t="n">
        <v>1</v>
      </c>
      <c r="H12" t="n">
        <v>2</v>
      </c>
      <c r="I12" t="n">
        <v>1</v>
      </c>
      <c r="J12" t="n">
        <v>9</v>
      </c>
      <c r="K12" t="n">
        <v>6</v>
      </c>
    </row>
    <row r="13">
      <c r="A13" s="27" t="inlineStr">
        <is>
          <t>สลัด ยำ น้ำจิ้ม</t>
        </is>
      </c>
      <c r="B13" t="n">
        <v>1</v>
      </c>
      <c r="J13" t="n">
        <v>1</v>
      </c>
    </row>
    <row r="14">
      <c r="A14" s="27" t="inlineStr">
        <is>
          <t>เส้น (ข้าวไทย)</t>
        </is>
      </c>
      <c r="D14" t="n">
        <v>2</v>
      </c>
      <c r="G14" t="n">
        <v>3</v>
      </c>
      <c r="H14" t="n">
        <v>1</v>
      </c>
      <c r="I14" t="n">
        <v>1</v>
      </c>
      <c r="J14" t="n">
        <v>3</v>
      </c>
      <c r="K14" t="n">
        <v>4</v>
      </c>
    </row>
    <row r="15">
      <c r="A15" s="27" t="inlineStr">
        <is>
          <t xml:space="preserve">เส้น (แป้งสาลี) ซุป </t>
        </is>
      </c>
      <c r="F15" t="n">
        <v>1</v>
      </c>
      <c r="G15" t="n">
        <v>1</v>
      </c>
      <c r="J15" t="n">
        <v>1</v>
      </c>
      <c r="K15" t="n">
        <v>1</v>
      </c>
    </row>
    <row r="16">
      <c r="A16" s="27" t="inlineStr">
        <is>
          <t>Grand Total</t>
        </is>
      </c>
      <c r="B16" t="n">
        <v>14</v>
      </c>
      <c r="C16" t="n">
        <v>8</v>
      </c>
      <c r="D16" t="n">
        <v>11</v>
      </c>
      <c r="E16" t="n">
        <v>6</v>
      </c>
      <c r="F16" t="n">
        <v>10</v>
      </c>
      <c r="G16" t="n">
        <v>12</v>
      </c>
      <c r="H16" t="n">
        <v>10</v>
      </c>
      <c r="I16" t="n">
        <v>5</v>
      </c>
      <c r="J16" t="n">
        <v>45</v>
      </c>
      <c r="K16" t="n">
        <v>31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99FF"/>
    <outlinePr summaryBelow="1" summaryRight="1"/>
    <pageSetUpPr/>
  </sheetPr>
  <dimension ref="A1:CF109"/>
  <sheetViews>
    <sheetView tabSelected="1" view="pageBreakPreview" topLeftCell="A65" zoomScale="85" zoomScaleNormal="115" zoomScaleSheetLayoutView="85" workbookViewId="0">
      <pane xSplit="7" topLeftCell="H68" activePane="topRight" state="frozen"/>
      <selection pane="topRight" activeCell="K75" sqref="K75"/>
    </sheetView>
  </sheetViews>
  <sheetFormatPr baseColWidth="8" defaultColWidth="9" defaultRowHeight="14.25"/>
  <cols>
    <col width="10.375" customWidth="1" style="421" min="2" max="2"/>
    <col width="9" customWidth="1" style="433" min="5" max="5"/>
    <col width="9.25" bestFit="1" customWidth="1" style="5" min="6" max="6"/>
    <col width="39.875" customWidth="1" style="604" min="7" max="7"/>
    <col width="13.5" customWidth="1" style="419" min="8" max="8"/>
    <col width="9" customWidth="1" style="434" min="9" max="9"/>
    <col width="12.125" customWidth="1" min="10" max="10"/>
    <col width="53.125" bestFit="1" customWidth="1" min="11" max="11"/>
    <col width="6.875" customWidth="1" min="12" max="12"/>
    <col width="6.375" customWidth="1" min="13" max="13"/>
    <col width="9" customWidth="1" min="14" max="14"/>
    <col width="6.125" customWidth="1" min="15" max="15"/>
    <col width="7.5" customWidth="1" min="16" max="16"/>
    <col width="7" customWidth="1" min="17" max="17"/>
    <col width="15.625" customWidth="1" min="18" max="19"/>
    <col width="11.375" customWidth="1" min="20" max="20"/>
    <col width="4.625" customWidth="1" min="21" max="23"/>
    <col width="15.125" customWidth="1" min="24" max="25"/>
    <col width="15.375" customWidth="1" style="433" min="26" max="28"/>
    <col width="9" customWidth="1" min="29" max="31"/>
    <col width="10.875" customWidth="1" min="32" max="32"/>
    <col width="9" customWidth="1" min="33" max="35"/>
    <col width="12" customWidth="1" min="36" max="36"/>
    <col width="9" customWidth="1" min="37" max="37"/>
    <col width="18.375" customWidth="1" min="38" max="38"/>
    <col width="9.875" customWidth="1" min="39" max="39"/>
    <col width="21.25" customWidth="1" min="40" max="40"/>
    <col width="9" customWidth="1" min="41" max="43"/>
    <col width="12" customWidth="1" style="378" min="45" max="48"/>
    <col width="9" customWidth="1" min="49" max="62"/>
    <col width="9" customWidth="1" style="411" min="63" max="63"/>
    <col width="9" customWidth="1" style="409" min="64" max="64"/>
    <col width="9" customWidth="1" style="408" min="65" max="65"/>
    <col width="9" customWidth="1" style="424" min="66" max="66"/>
    <col width="9" customWidth="1" min="67" max="71"/>
    <col width="19.125" bestFit="1" customWidth="1" min="84" max="84"/>
  </cols>
  <sheetData>
    <row r="1">
      <c r="A1" s="1" t="inlineStr">
        <is>
          <t>Performance รวมทุกบ้าน</t>
        </is>
      </c>
      <c r="I1" s="460" t="n"/>
      <c r="AC1" s="675" t="inlineStr">
        <is>
          <t>Lead time สินค้าส่งออก</t>
        </is>
      </c>
      <c r="AJ1" s="673" t="inlineStr">
        <is>
          <t>Lead time สินค้าในประเทศ</t>
        </is>
      </c>
    </row>
    <row r="2">
      <c r="A2" s="1" t="n"/>
      <c r="I2" s="460" t="n"/>
      <c r="O2" s="539" t="inlineStr">
        <is>
          <t>Pilot/Pre-TR(PMA24,08)</t>
        </is>
      </c>
      <c r="P2" s="540" t="n"/>
      <c r="Q2" s="540" t="n"/>
      <c r="R2" s="540" t="n"/>
      <c r="S2" s="540" t="n"/>
      <c r="T2" s="541" t="n"/>
      <c r="U2" s="536" t="inlineStr">
        <is>
          <t>Pre-TR/TR(PMA24,08)</t>
        </is>
      </c>
      <c r="V2" s="537" t="n"/>
      <c r="W2" s="537" t="n"/>
      <c r="X2" s="537" t="n"/>
      <c r="Y2" s="537" t="n"/>
      <c r="Z2" s="538" t="n"/>
      <c r="AA2" s="538" t="n"/>
      <c r="AB2" s="651" t="n"/>
      <c r="AC2" s="675" t="n"/>
      <c r="AD2" s="675" t="n"/>
      <c r="AE2" s="675" t="n"/>
      <c r="AF2" s="675" t="n"/>
      <c r="AG2" s="675" t="n"/>
      <c r="AH2" s="675" t="n"/>
      <c r="AI2" s="675" t="n"/>
      <c r="AJ2" s="674" t="inlineStr">
        <is>
          <t>แบบเก่า</t>
        </is>
      </c>
      <c r="AK2" s="825" t="n"/>
      <c r="AL2" s="822" t="n"/>
      <c r="AM2" s="674" t="inlineStr">
        <is>
          <t>แบบใหม่</t>
        </is>
      </c>
      <c r="AN2" s="822" t="n"/>
    </row>
    <row r="3" ht="57.75" customFormat="1" customHeight="1" s="3">
      <c r="A3" s="65" t="inlineStr">
        <is>
          <t>No.</t>
        </is>
      </c>
      <c r="B3" s="475" t="inlineStr">
        <is>
          <t>กลุ่มสินค้า</t>
        </is>
      </c>
      <c r="C3" s="476" t="inlineStr">
        <is>
          <t>ตลาด</t>
        </is>
      </c>
      <c r="D3" s="476" t="inlineStr">
        <is>
          <t>ไตรมาส</t>
        </is>
      </c>
      <c r="E3" s="477" t="inlineStr">
        <is>
          <t>เดือน</t>
        </is>
      </c>
      <c r="F3" s="476" t="inlineStr">
        <is>
          <t>รหัสสินค้า</t>
        </is>
      </c>
      <c r="G3" s="605" t="inlineStr">
        <is>
          <t>ชื่อสินค้า</t>
        </is>
      </c>
      <c r="H3" s="478" t="inlineStr">
        <is>
          <t>จำนวนครั้งใน
การขยายแบท</t>
        </is>
      </c>
      <c r="I3" s="479" t="inlineStr">
        <is>
          <t>Plant ที่ผลิต</t>
        </is>
      </c>
      <c r="J3" s="422" t="inlineStr">
        <is>
          <t>No. of New Product Delay Plan</t>
        </is>
      </c>
      <c r="K3" s="422" t="inlineStr">
        <is>
          <t>กรณีสินค้านั้นมีการเลื่อนแผนขาย ให้ระบุว่าเลื่อนมาจากเดือนใด และสาเหตุใด</t>
        </is>
      </c>
      <c r="L3" s="381" t="inlineStr">
        <is>
          <t>%αβ</t>
        </is>
      </c>
      <c r="M3" s="381" t="inlineStr">
        <is>
          <t>%Defect
(Test Run
5 กะ)</t>
        </is>
      </c>
      <c r="N3" s="381" t="inlineStr">
        <is>
          <t>ภายใน 5 กะ  Defect ได้ตาม STD หรือไม่</t>
        </is>
      </c>
      <c r="O3" s="523" t="inlineStr">
        <is>
          <t>ผ่าน</t>
        </is>
      </c>
      <c r="P3" s="523" t="inlineStr">
        <is>
          <t>ผ่านแบบมีเงื่อนไข</t>
        </is>
      </c>
      <c r="Q3" s="523" t="inlineStr">
        <is>
          <t>ไม่ผ่าน</t>
        </is>
      </c>
      <c r="R3" s="523" t="inlineStr">
        <is>
          <t>เหตุผลหลัก</t>
        </is>
      </c>
      <c r="S3" s="523" t="inlineStr">
        <is>
          <t>ประเภทของปัญหา</t>
        </is>
      </c>
      <c r="T3" s="523" t="inlineStr">
        <is>
          <t>อื่นๆ</t>
        </is>
      </c>
      <c r="U3" s="524" t="inlineStr">
        <is>
          <t>ผ่าน2</t>
        </is>
      </c>
      <c r="V3" s="524" t="inlineStr">
        <is>
          <t>ผ่านแบบมีเงื่อนไข2</t>
        </is>
      </c>
      <c r="W3" s="524" t="inlineStr">
        <is>
          <t>ไม่ผ่าน4</t>
        </is>
      </c>
      <c r="X3" s="524" t="inlineStr">
        <is>
          <t>เหตุผลหลัก2</t>
        </is>
      </c>
      <c r="Y3" s="524" t="inlineStr">
        <is>
          <t>ประเภทของปัญหา2</t>
        </is>
      </c>
      <c r="Z3" s="524" t="inlineStr">
        <is>
          <t>อื่นๆ6</t>
        </is>
      </c>
      <c r="AA3" s="524" t="inlineStr">
        <is>
          <t>การแก้ไข</t>
        </is>
      </c>
      <c r="AB3" s="524" t="inlineStr">
        <is>
          <t>รายละเอียดการแก้ไข</t>
        </is>
      </c>
      <c r="AC3" s="380" t="inlineStr">
        <is>
          <t>Launch Date</t>
        </is>
      </c>
      <c r="AD3" s="380" t="inlineStr">
        <is>
          <t>วันที่การตลาด
อนุมัติใบขอรหัส</t>
        </is>
      </c>
      <c r="AE3" s="496" t="inlineStr">
        <is>
          <t>วันที่ใบขอรหัสจบ (ส่งออก)</t>
        </is>
      </c>
      <c r="AF3" s="380" t="inlineStr">
        <is>
          <t>วัน Pre-test 
run</t>
        </is>
      </c>
      <c r="AG3" s="380" t="inlineStr">
        <is>
          <t>Lead 
time (วัน)</t>
        </is>
      </c>
      <c r="AH3" s="380" t="inlineStr">
        <is>
          <t>จำนวนวัน
ที่รอ artwork (วัน)</t>
        </is>
      </c>
      <c r="AI3" s="380" t="inlineStr">
        <is>
          <t>สรุป 
leadtime</t>
        </is>
      </c>
      <c r="AJ3" s="382" t="inlineStr">
        <is>
          <t>วันที่การตลาดอนุมัติ
ใบขอรหัส.</t>
        </is>
      </c>
      <c r="AK3" s="382" t="inlineStr">
        <is>
          <t>Launch 
Date.</t>
        </is>
      </c>
      <c r="AL3" s="382" t="inlineStr">
        <is>
          <t>Lead 
time (วัน). (เก่า)</t>
        </is>
      </c>
      <c r="AM3" s="496" t="inlineStr">
        <is>
          <t>วันที่ใบขอรหัสจบ(ภายใน)</t>
        </is>
      </c>
      <c r="AN3" s="382" t="inlineStr">
        <is>
          <t>Lead 
time (วัน). (ใหม่)</t>
        </is>
      </c>
      <c r="AO3" s="339" t="inlineStr">
        <is>
          <t>New</t>
        </is>
      </c>
      <c r="AP3" s="339" t="inlineStr">
        <is>
          <t>Level
Up</t>
        </is>
      </c>
      <c r="AQ3" s="339" t="inlineStr">
        <is>
          <t>Total</t>
        </is>
      </c>
      <c r="AR3" s="340" t="inlineStr">
        <is>
          <t>ลักษณะ
การขาย</t>
        </is>
      </c>
      <c r="AS3" s="341" t="inlineStr">
        <is>
          <t>No. of New Product over Target Cost</t>
        </is>
      </c>
      <c r="AT3" s="341" t="inlineStr">
        <is>
          <t>สาเหตที่ CM เกิดจริงน้อยกว่า CM ใบขอรหัส</t>
        </is>
      </c>
      <c r="AU3" s="341" t="inlineStr">
        <is>
          <t>%CM
ใบขอรหัส</t>
        </is>
      </c>
      <c r="AV3" s="341" t="inlineStr">
        <is>
          <t>%CM
inbound</t>
        </is>
      </c>
      <c r="AW3" s="341" t="inlineStr">
        <is>
          <t>%CM 
เกิดจริง
 Jan</t>
        </is>
      </c>
      <c r="AX3" s="341" t="inlineStr">
        <is>
          <t>%CM 
เกิดจริง
 Feb</t>
        </is>
      </c>
      <c r="AY3" s="341" t="inlineStr">
        <is>
          <t>%CM 
เกิดจริง
 Mar</t>
        </is>
      </c>
      <c r="AZ3" s="341" t="inlineStr">
        <is>
          <t>%CM 
เกิดจริง
 Apr</t>
        </is>
      </c>
      <c r="BA3" s="341" t="inlineStr">
        <is>
          <t>%CM 
เกิดจริง
 May</t>
        </is>
      </c>
      <c r="BB3" s="341" t="inlineStr">
        <is>
          <t>%CM 
เกิดจริง
 Jun</t>
        </is>
      </c>
      <c r="BC3" s="341" t="inlineStr">
        <is>
          <t>%CM 
เกิดจริง
 Jul</t>
        </is>
      </c>
      <c r="BD3" s="341" t="inlineStr">
        <is>
          <t>%CM 
เกิดจริง
 Aug</t>
        </is>
      </c>
      <c r="BE3" s="341" t="inlineStr">
        <is>
          <t>%CM 
เกิดจริง
 Sep</t>
        </is>
      </c>
      <c r="BF3" s="341" t="inlineStr">
        <is>
          <t>%CM 
เกิดจริง
 Oct</t>
        </is>
      </c>
      <c r="BG3" s="341" t="inlineStr">
        <is>
          <t>%CM 
เกิดจริง
 Nov</t>
        </is>
      </c>
      <c r="BH3" s="383" t="inlineStr">
        <is>
          <t>%CM 
เกิดจริง
 Dec</t>
        </is>
      </c>
      <c r="BI3" s="383" t="inlineStr">
        <is>
          <t>%CM 
เกิดจริงเฉลี่ย</t>
        </is>
      </c>
      <c r="BJ3" s="383" t="inlineStr">
        <is>
          <t>%CM ต่างจากใบขอรหัส</t>
        </is>
      </c>
      <c r="BK3" s="412" t="inlineStr">
        <is>
          <t>Creator</t>
        </is>
      </c>
      <c r="BL3" s="406" t="inlineStr">
        <is>
          <t>VG for Love</t>
        </is>
      </c>
      <c r="BM3" s="407" t="inlineStr">
        <is>
          <t>ค่าโซเดียม/serve</t>
        </is>
      </c>
      <c r="BN3" s="480" t="inlineStr">
        <is>
          <t>ค่าโซเดียมไม่เกิน 1000 mg/serve</t>
        </is>
      </c>
      <c r="BO3" s="481" t="inlineStr">
        <is>
          <t>ทางเลือกสุขภาพ</t>
        </is>
      </c>
      <c r="BP3" s="482" t="inlineStr">
        <is>
          <t>อาหารที่มีการ
เพิ่มหรือลด</t>
        </is>
      </c>
      <c r="BQ3" s="482" t="inlineStr">
        <is>
          <t>ผักและผลไม้</t>
        </is>
      </c>
      <c r="BR3" s="483" t="inlineStr">
        <is>
          <t>อาหารทางการแพทย์</t>
        </is>
      </c>
      <c r="BS3" s="482" t="inlineStr">
        <is>
          <t>ไม่เข้าข่าย 
Health</t>
        </is>
      </c>
      <c r="BT3" s="386" t="inlineStr">
        <is>
          <t>JAN</t>
        </is>
      </c>
      <c r="BU3" s="476" t="inlineStr">
        <is>
          <t>FEB</t>
        </is>
      </c>
      <c r="BV3" s="476" t="inlineStr">
        <is>
          <t>MAR</t>
        </is>
      </c>
      <c r="BW3" s="476" t="inlineStr">
        <is>
          <t>APR</t>
        </is>
      </c>
      <c r="BX3" s="476" t="inlineStr">
        <is>
          <t>MAY</t>
        </is>
      </c>
      <c r="BY3" s="476" t="inlineStr">
        <is>
          <t>JUN</t>
        </is>
      </c>
      <c r="BZ3" s="476" t="inlineStr">
        <is>
          <t>JUL</t>
        </is>
      </c>
      <c r="CA3" s="476" t="inlineStr">
        <is>
          <t>Aug</t>
        </is>
      </c>
      <c r="CB3" s="476" t="inlineStr">
        <is>
          <t>Sep</t>
        </is>
      </c>
      <c r="CC3" s="476" t="inlineStr">
        <is>
          <t>Oct</t>
        </is>
      </c>
      <c r="CD3" s="476" t="inlineStr">
        <is>
          <t>Nov</t>
        </is>
      </c>
      <c r="CE3" s="476" t="inlineStr">
        <is>
          <t>Dec</t>
        </is>
      </c>
      <c r="CF3" s="476" t="inlineStr">
        <is>
          <t>Grand Total</t>
        </is>
      </c>
    </row>
    <row r="4" ht="42" customFormat="1" customHeight="1" s="324">
      <c r="A4" s="464" t="n">
        <v>1</v>
      </c>
      <c r="B4" s="559" t="inlineStr">
        <is>
          <t>ข้าวเหนียว สเต็ก</t>
        </is>
      </c>
      <c r="C4" s="464" t="inlineStr">
        <is>
          <t>PMA08</t>
        </is>
      </c>
      <c r="D4" s="652" t="inlineStr">
        <is>
          <t>Q1</t>
        </is>
      </c>
      <c r="E4" s="464" t="inlineStr">
        <is>
          <t>Jan</t>
        </is>
      </c>
      <c r="F4" s="572" t="inlineStr">
        <is>
          <t>90113352</t>
        </is>
      </c>
      <c r="G4" s="606" t="inlineStr">
        <is>
          <t>BGข.น.เนื้อลาบแซ่บEZYGO137gIMP267-11</t>
        </is>
      </c>
      <c r="H4" s="573" t="n">
        <v>2</v>
      </c>
      <c r="I4" s="574" t="n">
        <v>4</v>
      </c>
      <c r="J4" s="464" t="n">
        <v>0</v>
      </c>
      <c r="K4" s="484" t="n"/>
      <c r="L4" s="589" t="n">
        <v>100</v>
      </c>
      <c r="M4" s="587" t="n">
        <v>0</v>
      </c>
      <c r="N4" s="587" t="n">
        <v>1</v>
      </c>
      <c r="O4" s="587" t="n">
        <v>1</v>
      </c>
      <c r="P4" s="587" t="n">
        <v>0</v>
      </c>
      <c r="Q4" s="587" t="n">
        <v>0</v>
      </c>
      <c r="R4" s="587" t="n"/>
      <c r="S4" s="394" t="n"/>
      <c r="T4" s="394" t="n"/>
      <c r="U4" s="587" t="n">
        <v>1</v>
      </c>
      <c r="V4" s="587" t="n">
        <v>0</v>
      </c>
      <c r="W4" s="587" t="n">
        <v>0</v>
      </c>
      <c r="X4" s="394" t="n"/>
      <c r="Y4" s="394" t="n"/>
      <c r="Z4" s="394" t="n"/>
      <c r="AA4" s="394" t="n"/>
      <c r="AB4" s="670" t="n"/>
      <c r="AC4" s="360" t="n"/>
      <c r="AD4" s="360" t="n"/>
      <c r="AE4" s="360" t="n"/>
      <c r="AF4" s="360" t="n"/>
      <c r="AG4" s="361">
        <f>Table13[[#This Row],[วัน Pre-test 
run]]-Table13[[#This Row],[วันที่การตลาด
อนุมัติใบขอรหัส]]</f>
        <v/>
      </c>
      <c r="AH4" s="361" t="n"/>
      <c r="AI4" s="361">
        <f>Table13[[#This Row],[Lead 
time (วัน)]]-Table13[[#This Row],[จำนวนวัน
ที่รอ artwork (วัน)]]</f>
        <v/>
      </c>
      <c r="AJ4" s="362" t="n">
        <v>45999</v>
      </c>
      <c r="AK4" s="362" t="n">
        <v>46030</v>
      </c>
      <c r="AL4" s="384">
        <f>Table13[[#This Row],[Launch 
Date.]]-Table13[[#This Row],[วันที่การตลาดอนุมัติ
ใบขอรหัส.]]</f>
        <v/>
      </c>
      <c r="AM4" s="499" t="n">
        <v>46002</v>
      </c>
      <c r="AN4" s="384">
        <f>Table13[[#This Row],[Launch 
Date.]]-Table13[[#This Row],[วันที่ใบขอรหัสจบ(ภายใน)]]</f>
        <v/>
      </c>
      <c r="AO4" s="35" t="n"/>
      <c r="AP4" s="35" t="n">
        <v>1</v>
      </c>
      <c r="AQ4" s="35" t="n">
        <v>1</v>
      </c>
      <c r="AR4" s="35" t="inlineStr">
        <is>
          <t>All Store</t>
        </is>
      </c>
      <c r="AS4" s="436" t="n">
        <v>0</v>
      </c>
      <c r="AT4" s="436" t="n"/>
      <c r="AU4" s="522" t="n">
        <v>30.33</v>
      </c>
      <c r="AV4" s="522" t="n">
        <v>30.88</v>
      </c>
      <c r="AW4" s="485" t="n">
        <v>29.29</v>
      </c>
      <c r="AX4" s="878" t="n">
        <v>30.56</v>
      </c>
      <c r="AY4" s="878" t="n">
        <v>26.52</v>
      </c>
      <c r="AZ4" s="420" t="n">
        <v>31.73</v>
      </c>
      <c r="BA4" s="420" t="n"/>
      <c r="BB4" s="461" t="n"/>
      <c r="BC4" s="879" t="n"/>
      <c r="BD4" s="461" t="n"/>
      <c r="BE4" s="463" t="n"/>
      <c r="BF4" s="463" t="n"/>
      <c r="BG4" s="463" t="n"/>
      <c r="BH4" s="463" t="n"/>
      <c r="BI4" s="463">
        <f>AVERAGE(AW4:BH4)</f>
        <v/>
      </c>
      <c r="BJ4" s="463">
        <f>BI4-AU4</f>
        <v/>
      </c>
      <c r="BK4" s="413" t="n"/>
      <c r="BL4" s="410" t="n"/>
      <c r="BM4" s="474" t="n">
        <v>690</v>
      </c>
      <c r="BN4" s="486" t="n">
        <v>1</v>
      </c>
      <c r="BO4" s="385" t="n"/>
      <c r="BP4" s="385" t="n"/>
      <c r="BQ4" s="385" t="n"/>
      <c r="BR4" s="385" t="n"/>
      <c r="BS4" s="385" t="n">
        <v>1</v>
      </c>
      <c r="BT4" s="441" t="n">
        <v>4022504</v>
      </c>
      <c r="BU4" s="441" t="n">
        <v>2879629</v>
      </c>
      <c r="BV4" s="441" t="n">
        <v>1896352</v>
      </c>
      <c r="BW4" s="441" t="n">
        <v>1064995</v>
      </c>
      <c r="BX4" s="441" t="n"/>
      <c r="BY4" s="441" t="n"/>
      <c r="BZ4" s="441" t="n"/>
      <c r="CA4" s="441" t="n"/>
      <c r="CB4" s="441" t="n"/>
      <c r="CC4" s="441" t="n"/>
      <c r="CD4" s="441" t="n"/>
      <c r="CE4" s="441" t="n"/>
      <c r="CF4" s="880">
        <f>SUM(BT4:CE4)</f>
        <v/>
      </c>
    </row>
    <row r="5" ht="42" customFormat="1" customHeight="1" s="324">
      <c r="A5" s="464" t="n">
        <v>2</v>
      </c>
      <c r="B5" s="559" t="inlineStr">
        <is>
          <t>เบอร์เกอร์ รองท้อง</t>
        </is>
      </c>
      <c r="C5" s="464" t="inlineStr">
        <is>
          <t>PMA08</t>
        </is>
      </c>
      <c r="D5" s="652" t="inlineStr">
        <is>
          <t>Q1</t>
        </is>
      </c>
      <c r="E5" s="464" t="inlineStr">
        <is>
          <t>Jan</t>
        </is>
      </c>
      <c r="F5" s="572" t="inlineStr">
        <is>
          <t>90113351</t>
        </is>
      </c>
      <c r="G5" s="606" t="inlineStr">
        <is>
          <t>ชีสซี่เบอร์เกอร์ไก่ทอดEZYGO142gIMP2026</t>
        </is>
      </c>
      <c r="H5" s="573" t="n">
        <v>3</v>
      </c>
      <c r="I5" s="574" t="n">
        <v>1</v>
      </c>
      <c r="J5" s="464" t="n">
        <v>0</v>
      </c>
      <c r="K5" s="484" t="n"/>
      <c r="L5" s="588" t="n">
        <v>89.40000000000001</v>
      </c>
      <c r="M5" s="587" t="n">
        <v>0</v>
      </c>
      <c r="N5" s="587" t="n">
        <v>1</v>
      </c>
      <c r="O5" s="587" t="n">
        <v>1</v>
      </c>
      <c r="P5" s="587" t="n">
        <v>0</v>
      </c>
      <c r="Q5" s="587" t="n">
        <v>0</v>
      </c>
      <c r="R5" s="589" t="n"/>
      <c r="S5" s="394" t="n"/>
      <c r="T5" s="394" t="n"/>
      <c r="U5" s="587" t="n">
        <v>1</v>
      </c>
      <c r="V5" s="587" t="n">
        <v>0</v>
      </c>
      <c r="W5" s="587" t="n">
        <v>0</v>
      </c>
      <c r="X5" s="394" t="n"/>
      <c r="Y5" s="394" t="n"/>
      <c r="Z5" s="394" t="n"/>
      <c r="AA5" s="394" t="n"/>
      <c r="AB5" s="394" t="n"/>
      <c r="AC5" s="360" t="n"/>
      <c r="AD5" s="360" t="n"/>
      <c r="AE5" s="360" t="n"/>
      <c r="AF5" s="360" t="n"/>
      <c r="AG5" s="361">
        <f>Table13[[#This Row],[วัน Pre-test 
run]]-Table13[[#This Row],[วันที่การตลาด
อนุมัติใบขอรหัส]]</f>
        <v/>
      </c>
      <c r="AH5" s="361" t="n"/>
      <c r="AI5" s="361">
        <f>Table13[[#This Row],[Lead 
time (วัน)]]-Table13[[#This Row],[จำนวนวัน
ที่รอ artwork (วัน)]]</f>
        <v/>
      </c>
      <c r="AJ5" s="362" t="n">
        <v>45995</v>
      </c>
      <c r="AK5" s="362" t="n">
        <v>46037</v>
      </c>
      <c r="AL5" s="384">
        <f>Table13[[#This Row],[Launch 
Date.]]-Table13[[#This Row],[วันที่การตลาดอนุมัติ
ใบขอรหัส.]]</f>
        <v/>
      </c>
      <c r="AM5" s="499" t="n">
        <v>46002</v>
      </c>
      <c r="AN5" s="384">
        <f>Table13[[#This Row],[Launch 
Date.]]-Table13[[#This Row],[วันที่ใบขอรหัสจบ(ภายใน)]]</f>
        <v/>
      </c>
      <c r="AO5" s="35" t="n"/>
      <c r="AP5" s="35" t="n">
        <v>1</v>
      </c>
      <c r="AQ5" s="35" t="n">
        <v>1</v>
      </c>
      <c r="AR5" s="35" t="inlineStr">
        <is>
          <t>All Store</t>
        </is>
      </c>
      <c r="AS5" s="436" t="n">
        <v>0</v>
      </c>
      <c r="AT5" s="436" t="n"/>
      <c r="AU5" s="522" t="n">
        <v>21.6</v>
      </c>
      <c r="AV5" s="522" t="n">
        <v>21.6</v>
      </c>
      <c r="AW5" s="485" t="n">
        <v>25.31</v>
      </c>
      <c r="AX5" s="878" t="n">
        <v>25.59</v>
      </c>
      <c r="AY5" s="878" t="n">
        <v>24.53</v>
      </c>
      <c r="AZ5" s="420" t="n">
        <v>24.72</v>
      </c>
      <c r="BA5" s="420" t="n"/>
      <c r="BB5" s="461" t="n"/>
      <c r="BC5" s="879" t="n"/>
      <c r="BD5" s="461" t="n"/>
      <c r="BE5" s="463" t="n"/>
      <c r="BF5" s="463" t="n"/>
      <c r="BG5" s="446" t="n"/>
      <c r="BH5" s="446" t="n"/>
      <c r="BI5" s="463">
        <f>AVERAGE(AW5:BH5)</f>
        <v/>
      </c>
      <c r="BJ5" s="463">
        <f>BI5-AU5</f>
        <v/>
      </c>
      <c r="BK5" s="413" t="n"/>
      <c r="BL5" s="410" t="n"/>
      <c r="BM5" s="474" t="n">
        <v>1000</v>
      </c>
      <c r="BN5" s="486" t="n">
        <v>1</v>
      </c>
      <c r="BO5" s="385" t="n"/>
      <c r="BP5" s="385" t="n"/>
      <c r="BQ5" s="385" t="n"/>
      <c r="BR5" s="385" t="n"/>
      <c r="BS5" s="385" t="n">
        <v>1</v>
      </c>
      <c r="BT5" s="441" t="n">
        <v>5503870</v>
      </c>
      <c r="BU5" s="441" t="n">
        <v>4687381</v>
      </c>
      <c r="BV5" s="441" t="n">
        <v>3878403</v>
      </c>
      <c r="BW5" s="441" t="n">
        <v>3344298</v>
      </c>
      <c r="BX5" s="441" t="n"/>
      <c r="BY5" s="441" t="n"/>
      <c r="BZ5" s="441" t="n"/>
      <c r="CA5" s="441" t="n"/>
      <c r="CB5" s="441" t="n"/>
      <c r="CC5" s="441" t="n"/>
      <c r="CD5" s="441" t="n"/>
      <c r="CE5" s="881" t="n"/>
      <c r="CF5" s="880">
        <f>SUM(BT5:CE5)</f>
        <v/>
      </c>
    </row>
    <row r="6" ht="42" customFormat="1" customHeight="1" s="324">
      <c r="A6" s="464" t="n">
        <v>3</v>
      </c>
      <c r="B6" s="559" t="inlineStr">
        <is>
          <t>เบอร์เกอร์ รองท้อง</t>
        </is>
      </c>
      <c r="C6" s="464" t="inlineStr">
        <is>
          <t>PMA08</t>
        </is>
      </c>
      <c r="D6" s="652" t="inlineStr">
        <is>
          <t>Q1</t>
        </is>
      </c>
      <c r="E6" s="464" t="inlineStr">
        <is>
          <t>Jan</t>
        </is>
      </c>
      <c r="F6" s="572" t="inlineStr">
        <is>
          <t>90113348</t>
        </is>
      </c>
      <c r="G6" s="606" t="inlineStr">
        <is>
          <t>เบอร์เกอร์ไก่EZYGO101g, 7-11 phase 2</t>
        </is>
      </c>
      <c r="H6" s="573" t="n">
        <v>1</v>
      </c>
      <c r="I6" s="574" t="inlineStr">
        <is>
          <t>1,2</t>
        </is>
      </c>
      <c r="J6" s="464" t="n">
        <v>0</v>
      </c>
      <c r="K6" s="465" t="n"/>
      <c r="L6" s="589" t="n">
        <v>100</v>
      </c>
      <c r="M6" s="587" t="n">
        <v>0.12</v>
      </c>
      <c r="N6" s="587" t="n">
        <v>1</v>
      </c>
      <c r="O6" s="587" t="n">
        <v>1</v>
      </c>
      <c r="P6" s="587" t="n">
        <v>0</v>
      </c>
      <c r="Q6" s="587" t="n">
        <v>0</v>
      </c>
      <c r="R6" s="587" t="n"/>
      <c r="S6" s="394" t="n"/>
      <c r="T6" s="394" t="n"/>
      <c r="U6" s="587" t="n">
        <v>1</v>
      </c>
      <c r="V6" s="587" t="n">
        <v>0</v>
      </c>
      <c r="W6" s="587" t="n">
        <v>0</v>
      </c>
      <c r="X6" s="394" t="n"/>
      <c r="Y6" s="394" t="n"/>
      <c r="Z6" s="394" t="n"/>
      <c r="AA6" s="394" t="n"/>
      <c r="AB6" s="394" t="n"/>
      <c r="AC6" s="360" t="n"/>
      <c r="AD6" s="360" t="n"/>
      <c r="AE6" s="360" t="n"/>
      <c r="AF6" s="360" t="n"/>
      <c r="AG6" s="361">
        <f>Table13[[#This Row],[วัน Pre-test 
run]]-Table13[[#This Row],[วันที่การตลาด
อนุมัติใบขอรหัส]]</f>
        <v/>
      </c>
      <c r="AH6" s="361" t="n"/>
      <c r="AI6" s="361">
        <f>Table13[[#This Row],[Lead 
time (วัน)]]-Table13[[#This Row],[จำนวนวัน
ที่รอ artwork (วัน)]]</f>
        <v/>
      </c>
      <c r="AJ6" s="362" t="n">
        <v>45975</v>
      </c>
      <c r="AK6" s="362" t="n">
        <v>46030</v>
      </c>
      <c r="AL6" s="384">
        <f>Table13[[#This Row],[Launch 
Date.]]-Table13[[#This Row],[วันที่การตลาดอนุมัติ
ใบขอรหัส.]]</f>
        <v/>
      </c>
      <c r="AM6" s="499" t="n">
        <v>45988</v>
      </c>
      <c r="AN6" s="384">
        <f>Table13[[#This Row],[Launch 
Date.]]-Table13[[#This Row],[วันที่ใบขอรหัสจบ(ภายใน)]]</f>
        <v/>
      </c>
      <c r="AO6" s="35" t="n"/>
      <c r="AP6" s="35" t="n">
        <v>1</v>
      </c>
      <c r="AQ6" s="35" t="n">
        <v>1</v>
      </c>
      <c r="AR6" s="35" t="inlineStr">
        <is>
          <t>All Store</t>
        </is>
      </c>
      <c r="AS6" s="436" t="n">
        <v>0</v>
      </c>
      <c r="AT6" s="436" t="n"/>
      <c r="AU6" s="522" t="n">
        <v>27.83</v>
      </c>
      <c r="AV6" s="522" t="n">
        <v>27.83</v>
      </c>
      <c r="AW6" s="485" t="n">
        <v>34.95</v>
      </c>
      <c r="AX6" s="878" t="n">
        <v>36.56</v>
      </c>
      <c r="AY6" s="878" t="n">
        <v>37.29</v>
      </c>
      <c r="AZ6" s="420" t="n">
        <v>36.32</v>
      </c>
      <c r="BA6" s="420" t="n"/>
      <c r="BB6" s="461" t="n"/>
      <c r="BC6" s="879" t="n"/>
      <c r="BD6" s="461" t="n"/>
      <c r="BE6" s="463" t="n"/>
      <c r="BF6" s="463" t="n"/>
      <c r="BG6" s="446" t="n"/>
      <c r="BH6" s="446" t="n"/>
      <c r="BI6" s="463">
        <f>AVERAGE(AW6:BH6)</f>
        <v/>
      </c>
      <c r="BJ6" s="463">
        <f>BI6-AU6</f>
        <v/>
      </c>
      <c r="BK6" s="413" t="n"/>
      <c r="BL6" s="410" t="n"/>
      <c r="BM6" s="474" t="n">
        <v>690</v>
      </c>
      <c r="BN6" s="486" t="n">
        <v>1</v>
      </c>
      <c r="BO6" s="385" t="n"/>
      <c r="BP6" s="385" t="n"/>
      <c r="BQ6" s="385" t="n"/>
      <c r="BR6" s="385" t="n"/>
      <c r="BS6" s="385" t="n">
        <v>1</v>
      </c>
      <c r="BT6" s="441" t="n">
        <v>2760860</v>
      </c>
      <c r="BU6" s="441" t="n">
        <v>1461202</v>
      </c>
      <c r="BV6" s="441" t="n">
        <v>1492843</v>
      </c>
      <c r="BW6" s="441" t="n">
        <v>975489</v>
      </c>
      <c r="BX6" s="441" t="n"/>
      <c r="BY6" s="441" t="n"/>
      <c r="BZ6" s="441" t="n"/>
      <c r="CA6" s="441" t="n"/>
      <c r="CB6" s="441" t="n"/>
      <c r="CC6" s="441" t="n"/>
      <c r="CD6" s="441" t="n"/>
      <c r="CE6" s="441" t="n"/>
      <c r="CF6" s="880">
        <f>SUM(BT6:CE6)</f>
        <v/>
      </c>
    </row>
    <row r="7" ht="42" customFormat="1" customHeight="1" s="324">
      <c r="A7" s="464" t="n">
        <v>4</v>
      </c>
      <c r="B7" s="559" t="inlineStr">
        <is>
          <t>สลัด ยำ น้ำจิ้ม</t>
        </is>
      </c>
      <c r="C7" s="464" t="inlineStr">
        <is>
          <t>PMA16</t>
        </is>
      </c>
      <c r="D7" s="652" t="inlineStr">
        <is>
          <t>Q1</t>
        </is>
      </c>
      <c r="E7" s="464" t="inlineStr">
        <is>
          <t>Jan</t>
        </is>
      </c>
      <c r="F7" s="583" t="n">
        <v>90138875</v>
      </c>
      <c r="G7" s="607" t="inlineStr">
        <is>
          <t xml:space="preserve">สลัดปูอัดเเละเซเลอรี พร้อมน้ำสลัดซาวเออร์ เมโย่ ตราอีซี่เฟรช 210 กรัม บายซิซซ์เล่อร์ </t>
        </is>
      </c>
      <c r="H7" s="573" t="n">
        <v>2</v>
      </c>
      <c r="I7" s="574" t="inlineStr">
        <is>
          <t>ALL</t>
        </is>
      </c>
      <c r="J7" s="464" t="n">
        <v>0</v>
      </c>
      <c r="K7" s="484" t="n"/>
      <c r="L7" s="588" t="n">
        <v>94</v>
      </c>
      <c r="M7" s="587" t="n">
        <v>0</v>
      </c>
      <c r="N7" s="587" t="n">
        <v>1</v>
      </c>
      <c r="O7" s="587" t="n">
        <v>0</v>
      </c>
      <c r="P7" s="587" t="n">
        <v>1</v>
      </c>
      <c r="Q7" s="587" t="n">
        <v>0</v>
      </c>
      <c r="R7" s="587" t="inlineStr">
        <is>
          <t>กระบวนการไม่ผ่าน (ผลิต)</t>
        </is>
      </c>
      <c r="S7" s="394" t="n"/>
      <c r="T7" s="394" t="inlineStr">
        <is>
          <t>ใบมีดเครื่องจักรไม่คม</t>
        </is>
      </c>
      <c r="U7" s="394" t="n"/>
      <c r="V7" s="394" t="n"/>
      <c r="W7" s="394" t="n"/>
      <c r="X7" s="394" t="n"/>
      <c r="Y7" s="394" t="n"/>
      <c r="Z7" s="394" t="n"/>
      <c r="AA7" s="394" t="n"/>
      <c r="AB7" s="394" t="n"/>
      <c r="AC7" s="360" t="n"/>
      <c r="AD7" s="360" t="n"/>
      <c r="AE7" s="360" t="n"/>
      <c r="AF7" s="360" t="n"/>
      <c r="AG7" s="361">
        <f>Table13[[#This Row],[วัน Pre-test 
run]]-Table13[[#This Row],[วันที่การตลาด
อนุมัติใบขอรหัส]]</f>
        <v/>
      </c>
      <c r="AH7" s="361" t="n"/>
      <c r="AI7" s="361">
        <f>Table13[[#This Row],[Lead 
time (วัน)]]-Table13[[#This Row],[จำนวนวัน
ที่รอ artwork (วัน)]]</f>
        <v/>
      </c>
      <c r="AJ7" s="362" t="n">
        <v>45966</v>
      </c>
      <c r="AK7" s="362" t="n">
        <v>46030</v>
      </c>
      <c r="AL7" s="384">
        <f>Table13[[#This Row],[Launch 
Date.]]-Table13[[#This Row],[วันที่การตลาดอนุมัติ
ใบขอรหัส.]]</f>
        <v/>
      </c>
      <c r="AM7" s="362" t="n">
        <v>45975</v>
      </c>
      <c r="AN7" s="384">
        <f>Table13[[#This Row],[Launch 
Date.]]-Table13[[#This Row],[วันที่ใบขอรหัสจบ(ภายใน)]]</f>
        <v/>
      </c>
      <c r="AO7" s="35" t="n">
        <v>1</v>
      </c>
      <c r="AP7" s="35" t="n"/>
      <c r="AQ7" s="35" t="n">
        <v>1</v>
      </c>
      <c r="AR7" s="504" t="inlineStr">
        <is>
          <t>All Store</t>
        </is>
      </c>
      <c r="AS7" s="436" t="n">
        <v>0</v>
      </c>
      <c r="AT7" s="624" t="inlineStr">
        <is>
          <t>RM. LB cost 
สูงกว่าขอรหัส</t>
        </is>
      </c>
      <c r="AU7" s="522" t="n">
        <v>16.49</v>
      </c>
      <c r="AV7" s="522" t="n">
        <v>16.49</v>
      </c>
      <c r="AW7" s="485" t="n">
        <v>18.38</v>
      </c>
      <c r="AX7" s="878" t="n">
        <v>16.06</v>
      </c>
      <c r="AY7" s="878" t="n">
        <v>16.57</v>
      </c>
      <c r="AZ7" s="420" t="n">
        <v>13.86</v>
      </c>
      <c r="BA7" s="420" t="n"/>
      <c r="BB7" s="461" t="n"/>
      <c r="BC7" s="879" t="n"/>
      <c r="BD7" s="461" t="n"/>
      <c r="BE7" s="463" t="n"/>
      <c r="BF7" s="463" t="n"/>
      <c r="BG7" s="446" t="n"/>
      <c r="BH7" s="446" t="n"/>
      <c r="BI7" s="463">
        <f>AVERAGE(AW7:BH7)</f>
        <v/>
      </c>
      <c r="BJ7" s="463">
        <f>BI7-AU7</f>
        <v/>
      </c>
      <c r="BK7" s="413" t="n"/>
      <c r="BL7" s="410" t="n"/>
      <c r="BM7" s="474" t="n">
        <v>770</v>
      </c>
      <c r="BN7" s="486" t="n">
        <v>1</v>
      </c>
      <c r="BO7" s="385" t="n"/>
      <c r="BP7" s="385" t="n"/>
      <c r="BQ7" s="385" t="n">
        <v>1</v>
      </c>
      <c r="BR7" s="385" t="n"/>
      <c r="BS7" s="385" t="n"/>
      <c r="BT7" s="882" t="n">
        <v>15037920</v>
      </c>
      <c r="BU7" s="441" t="n">
        <v>9982080</v>
      </c>
      <c r="BV7" s="441" t="n">
        <v>6558520</v>
      </c>
      <c r="BW7" s="883" t="n">
        <v>3778886</v>
      </c>
      <c r="BX7" s="441" t="n"/>
      <c r="BY7" s="441" t="n"/>
      <c r="BZ7" s="441" t="n"/>
      <c r="CA7" s="441" t="n"/>
      <c r="CB7" s="441" t="n"/>
      <c r="CC7" s="441" t="n"/>
      <c r="CD7" s="441" t="n"/>
      <c r="CE7" s="441" t="n"/>
      <c r="CF7" s="880">
        <f>SUM(BT7:CE7)</f>
        <v/>
      </c>
    </row>
    <row r="8" ht="42" customFormat="1" customHeight="1" s="324">
      <c r="A8" s="464" t="n">
        <v>5</v>
      </c>
      <c r="B8" s="559" t="inlineStr">
        <is>
          <t>ข้าวเหนียว สเต็ก</t>
        </is>
      </c>
      <c r="C8" s="464" t="inlineStr">
        <is>
          <t>PMA08</t>
        </is>
      </c>
      <c r="D8" s="652" t="inlineStr">
        <is>
          <t>Q1</t>
        </is>
      </c>
      <c r="E8" s="464" t="inlineStr">
        <is>
          <t>Jan</t>
        </is>
      </c>
      <c r="F8" s="572" t="inlineStr">
        <is>
          <t>90113350</t>
        </is>
      </c>
      <c r="G8" s="606" t="inlineStr">
        <is>
          <t>BGข.น.ไก่ย่างEZYGO136gLV2026,7-11</t>
        </is>
      </c>
      <c r="H8" s="573" t="n">
        <v>2</v>
      </c>
      <c r="I8" s="574" t="n">
        <v>4</v>
      </c>
      <c r="J8" s="464" t="n">
        <v>0</v>
      </c>
      <c r="K8" s="484" t="n"/>
      <c r="L8" s="588" t="n">
        <v>100</v>
      </c>
      <c r="M8" s="587" t="n">
        <v>0.11</v>
      </c>
      <c r="N8" s="587" t="n">
        <v>1</v>
      </c>
      <c r="O8" s="587" t="n">
        <v>1</v>
      </c>
      <c r="P8" s="587" t="n">
        <v>0</v>
      </c>
      <c r="Q8" s="587" t="n">
        <v>0</v>
      </c>
      <c r="R8" s="587" t="n"/>
      <c r="S8" s="394" t="n"/>
      <c r="T8" s="394" t="n"/>
      <c r="U8" s="587" t="n">
        <v>1</v>
      </c>
      <c r="V8" s="587" t="n">
        <v>0</v>
      </c>
      <c r="W8" s="587" t="n">
        <v>0</v>
      </c>
      <c r="X8" s="394" t="n"/>
      <c r="Y8" s="394" t="n"/>
      <c r="Z8" s="394" t="n"/>
      <c r="AA8" s="394" t="n"/>
      <c r="AB8" s="394" t="n"/>
      <c r="AC8" s="360" t="n"/>
      <c r="AD8" s="360" t="n"/>
      <c r="AE8" s="360" t="n"/>
      <c r="AF8" s="360" t="n"/>
      <c r="AG8" s="361">
        <f>Table13[[#This Row],[วัน Pre-test 
run]]-Table13[[#This Row],[วันที่การตลาด
อนุมัติใบขอรหัส]]</f>
        <v/>
      </c>
      <c r="AH8" s="361" t="n"/>
      <c r="AI8" s="361">
        <f>Table13[[#This Row],[Lead 
time (วัน)]]-Table13[[#This Row],[จำนวนวัน
ที่รอ artwork (วัน)]]</f>
        <v/>
      </c>
      <c r="AJ8" s="362" t="n">
        <v>45997</v>
      </c>
      <c r="AK8" s="362" t="n">
        <v>46030</v>
      </c>
      <c r="AL8" s="384">
        <f>Table13[[#This Row],[Launch 
Date.]]-Table13[[#This Row],[วันที่การตลาดอนุมัติ
ใบขอรหัส.]]</f>
        <v/>
      </c>
      <c r="AM8" s="499" t="n">
        <v>46003</v>
      </c>
      <c r="AN8" s="384">
        <f>Table13[[#This Row],[Launch 
Date.]]-Table13[[#This Row],[วันที่ใบขอรหัสจบ(ภายใน)]]</f>
        <v/>
      </c>
      <c r="AO8" s="35" t="n">
        <v>1</v>
      </c>
      <c r="AP8" s="35" t="n"/>
      <c r="AQ8" s="35" t="n">
        <v>1</v>
      </c>
      <c r="AR8" s="35" t="inlineStr">
        <is>
          <t>All Store</t>
        </is>
      </c>
      <c r="AS8" s="436" t="n">
        <v>0</v>
      </c>
      <c r="AT8" s="436" t="n"/>
      <c r="AU8" s="522" t="n">
        <v>30.03</v>
      </c>
      <c r="AV8" s="522" t="n">
        <v>30.03</v>
      </c>
      <c r="AW8" s="485" t="n">
        <v>42.91</v>
      </c>
      <c r="AX8" s="878" t="n">
        <v>40.71</v>
      </c>
      <c r="AY8" s="878" t="n">
        <v>47.79</v>
      </c>
      <c r="AZ8" s="420" t="n">
        <v>35.34</v>
      </c>
      <c r="BA8" s="420" t="n"/>
      <c r="BB8" s="461" t="n"/>
      <c r="BC8" s="879" t="n"/>
      <c r="BD8" s="461" t="n"/>
      <c r="BE8" s="463" t="n"/>
      <c r="BF8" s="463" t="n"/>
      <c r="BG8" s="446" t="n"/>
      <c r="BH8" s="446" t="n"/>
      <c r="BI8" s="463">
        <f>AVERAGE(AW8:BH8)</f>
        <v/>
      </c>
      <c r="BJ8" s="463">
        <f>BI8-AU8</f>
        <v/>
      </c>
      <c r="BK8" s="413" t="n"/>
      <c r="BL8" s="410" t="n"/>
      <c r="BM8" s="474" t="n">
        <v>420</v>
      </c>
      <c r="BN8" s="486" t="n">
        <v>1</v>
      </c>
      <c r="BO8" s="385" t="n"/>
      <c r="BP8" s="385" t="n"/>
      <c r="BQ8" s="385" t="n"/>
      <c r="BR8" s="385" t="n"/>
      <c r="BS8" s="385" t="n">
        <v>1</v>
      </c>
      <c r="BT8" s="441" t="n">
        <v>2077608</v>
      </c>
      <c r="BU8" s="441" t="n">
        <v>1670208</v>
      </c>
      <c r="BV8" s="441" t="n">
        <v>723725</v>
      </c>
      <c r="BW8" s="441" t="n">
        <v>482878</v>
      </c>
      <c r="BX8" s="441" t="n"/>
      <c r="BY8" s="441" t="n"/>
      <c r="BZ8" s="441" t="n"/>
      <c r="CA8" s="441" t="n"/>
      <c r="CB8" s="441" t="n"/>
      <c r="CC8" s="441" t="n"/>
      <c r="CD8" s="441" t="n"/>
      <c r="CE8" s="441" t="n"/>
      <c r="CF8" s="880">
        <f>SUM(BT8:CE8)</f>
        <v/>
      </c>
    </row>
    <row r="9" ht="42" customFormat="1" customHeight="1" s="324">
      <c r="A9" s="464" t="n">
        <v>6</v>
      </c>
      <c r="B9" s="559" t="inlineStr">
        <is>
          <t>เบอร์เกอร์ รองท้อง</t>
        </is>
      </c>
      <c r="C9" s="464" t="inlineStr">
        <is>
          <t>PMA08</t>
        </is>
      </c>
      <c r="D9" s="652" t="inlineStr">
        <is>
          <t>Q1</t>
        </is>
      </c>
      <c r="E9" s="464" t="inlineStr">
        <is>
          <t>Jan</t>
        </is>
      </c>
      <c r="F9" s="572" t="inlineStr">
        <is>
          <t>90113356</t>
        </is>
      </c>
      <c r="G9" s="606" t="inlineStr">
        <is>
          <t>เบอร์เกอร์ไก่ย่างและชีสEZYGO105g,7-11</t>
        </is>
      </c>
      <c r="H9" s="573" t="n">
        <v>3</v>
      </c>
      <c r="I9" s="574" t="n">
        <v>1</v>
      </c>
      <c r="J9" s="464" t="n">
        <v>0</v>
      </c>
      <c r="K9" s="484" t="n"/>
      <c r="L9" s="589" t="n">
        <v>100</v>
      </c>
      <c r="M9" s="587" t="n">
        <v>0</v>
      </c>
      <c r="N9" s="587" t="n">
        <v>1</v>
      </c>
      <c r="O9" s="587" t="n">
        <v>1</v>
      </c>
      <c r="P9" s="587" t="n">
        <v>0</v>
      </c>
      <c r="Q9" s="587" t="n">
        <v>0</v>
      </c>
      <c r="R9" s="587" t="n"/>
      <c r="S9" s="394" t="n"/>
      <c r="T9" s="394" t="n"/>
      <c r="U9" s="587" t="n">
        <v>1</v>
      </c>
      <c r="V9" s="587" t="n">
        <v>0</v>
      </c>
      <c r="W9" s="587" t="n">
        <v>0</v>
      </c>
      <c r="X9" s="394" t="n"/>
      <c r="Y9" s="394" t="n"/>
      <c r="Z9" s="394" t="n"/>
      <c r="AA9" s="394" t="n"/>
      <c r="AB9" s="394" t="n"/>
      <c r="AC9" s="360" t="n"/>
      <c r="AD9" s="360" t="n"/>
      <c r="AE9" s="360" t="n"/>
      <c r="AF9" s="360" t="n"/>
      <c r="AG9" s="361">
        <f>Table13[[#This Row],[วัน Pre-test 
run]]-Table13[[#This Row],[วันที่การตลาด
อนุมัติใบขอรหัส]]</f>
        <v/>
      </c>
      <c r="AH9" s="361" t="n"/>
      <c r="AI9" s="361">
        <f>Table13[[#This Row],[Lead 
time (วัน)]]-Table13[[#This Row],[จำนวนวัน
ที่รอ artwork (วัน)]]</f>
        <v/>
      </c>
      <c r="AJ9" s="362" t="n">
        <v>46012</v>
      </c>
      <c r="AK9" s="362" t="n">
        <v>46044</v>
      </c>
      <c r="AL9" s="384">
        <f>Table13[[#This Row],[Launch 
Date.]]-Table13[[#This Row],[วันที่การตลาดอนุมัติ
ใบขอรหัส.]]</f>
        <v/>
      </c>
      <c r="AM9" s="499" t="n">
        <v>46028</v>
      </c>
      <c r="AN9" s="384">
        <f>Table13[[#This Row],[Launch 
Date.]]-Table13[[#This Row],[วันที่ใบขอรหัสจบ(ภายใน)]]</f>
        <v/>
      </c>
      <c r="AO9" s="35" t="n">
        <v>1</v>
      </c>
      <c r="AP9" s="35" t="n"/>
      <c r="AQ9" s="35" t="n">
        <v>1</v>
      </c>
      <c r="AR9" s="35" t="inlineStr">
        <is>
          <t>All Store</t>
        </is>
      </c>
      <c r="AS9" s="436" t="n">
        <v>0</v>
      </c>
      <c r="AT9" s="436" t="n"/>
      <c r="AU9" s="522" t="n">
        <v>25.85</v>
      </c>
      <c r="AV9" s="522" t="n">
        <v>25.85</v>
      </c>
      <c r="AW9" s="485" t="n">
        <v>34.32</v>
      </c>
      <c r="AX9" s="878" t="n">
        <v>29.03</v>
      </c>
      <c r="AY9" s="878" t="n">
        <v>30.93</v>
      </c>
      <c r="AZ9" s="420" t="n"/>
      <c r="BA9" s="420" t="n"/>
      <c r="BB9" s="461" t="n"/>
      <c r="BC9" s="879" t="n"/>
      <c r="BD9" s="461" t="n"/>
      <c r="BE9" s="463" t="n"/>
      <c r="BF9" s="463" t="n"/>
      <c r="BG9" s="446" t="n"/>
      <c r="BH9" s="446" t="n"/>
      <c r="BI9" s="463">
        <f>AVERAGE(AW9:BH9)</f>
        <v/>
      </c>
      <c r="BJ9" s="463">
        <f>BI9-AU9</f>
        <v/>
      </c>
      <c r="BK9" s="413" t="n"/>
      <c r="BL9" s="410" t="n"/>
      <c r="BM9" s="474" t="n">
        <v>760</v>
      </c>
      <c r="BN9" s="486" t="n">
        <v>1</v>
      </c>
      <c r="BO9" s="385" t="n"/>
      <c r="BP9" s="385" t="n"/>
      <c r="BQ9" s="385" t="n"/>
      <c r="BR9" s="385" t="n"/>
      <c r="BS9" s="385" t="n">
        <v>1</v>
      </c>
      <c r="BT9" s="441" t="n">
        <v>1817667</v>
      </c>
      <c r="BU9" s="441" t="n">
        <v>2117417</v>
      </c>
      <c r="BV9" s="441" t="n">
        <v>763756</v>
      </c>
      <c r="BW9" s="441" t="n">
        <v>0</v>
      </c>
      <c r="BX9" s="441" t="n"/>
      <c r="BY9" s="441" t="n"/>
      <c r="BZ9" s="441" t="n"/>
      <c r="CA9" s="441" t="n"/>
      <c r="CB9" s="441" t="n"/>
      <c r="CC9" s="441" t="n"/>
      <c r="CD9" s="441" t="n"/>
      <c r="CE9" s="441" t="n"/>
      <c r="CF9" s="880">
        <f>SUM(BT9:CE9)</f>
        <v/>
      </c>
    </row>
    <row r="10" ht="42" customFormat="1" customHeight="1" s="324">
      <c r="A10" s="464" t="n">
        <v>7</v>
      </c>
      <c r="B10" s="559" t="inlineStr">
        <is>
          <t>เบอร์เกอร์ รองท้อง</t>
        </is>
      </c>
      <c r="C10" s="464" t="inlineStr">
        <is>
          <t>PMA08</t>
        </is>
      </c>
      <c r="D10" s="652" t="inlineStr">
        <is>
          <t>Q1</t>
        </is>
      </c>
      <c r="E10" s="464" t="inlineStr">
        <is>
          <t>Jan</t>
        </is>
      </c>
      <c r="F10" s="572" t="inlineStr">
        <is>
          <t>90113349</t>
        </is>
      </c>
      <c r="G10" s="606" t="inlineStr">
        <is>
          <t>เบอร์เกอร์กุ้งชีส(ผสมไก่)EZYGO102g,7-11</t>
        </is>
      </c>
      <c r="H10" s="573" t="n">
        <v>1</v>
      </c>
      <c r="I10" s="574" t="inlineStr">
        <is>
          <t>1,2</t>
        </is>
      </c>
      <c r="J10" s="464" t="n">
        <v>0</v>
      </c>
      <c r="K10" s="484" t="n"/>
      <c r="L10" s="588" t="n">
        <v>100</v>
      </c>
      <c r="M10" s="587" t="n">
        <v>0</v>
      </c>
      <c r="N10" s="587" t="n">
        <v>1</v>
      </c>
      <c r="O10" s="587" t="n">
        <v>1</v>
      </c>
      <c r="P10" s="587" t="n">
        <v>0</v>
      </c>
      <c r="Q10" s="587" t="n">
        <v>0</v>
      </c>
      <c r="R10" s="587" t="n"/>
      <c r="S10" s="394" t="n"/>
      <c r="T10" s="394" t="n"/>
      <c r="U10" s="587" t="n">
        <v>1</v>
      </c>
      <c r="V10" s="587" t="n">
        <v>0</v>
      </c>
      <c r="W10" s="587" t="n">
        <v>0</v>
      </c>
      <c r="X10" s="394" t="n"/>
      <c r="Y10" s="394" t="n"/>
      <c r="Z10" s="394" t="n"/>
      <c r="AA10" s="394" t="n"/>
      <c r="AB10" s="394" t="n"/>
      <c r="AC10" s="360" t="n"/>
      <c r="AD10" s="360" t="n"/>
      <c r="AE10" s="360" t="n"/>
      <c r="AF10" s="360" t="n"/>
      <c r="AG10" s="361">
        <f>Table13[[#This Row],[วัน Pre-test 
run]]-Table13[[#This Row],[วันที่การตลาด
อนุมัติใบขอรหัส]]</f>
        <v/>
      </c>
      <c r="AH10" s="361" t="n"/>
      <c r="AI10" s="361">
        <f>Table13[[#This Row],[Lead 
time (วัน)]]-Table13[[#This Row],[จำนวนวัน
ที่รอ artwork (วัน)]]</f>
        <v/>
      </c>
      <c r="AJ10" s="362" t="n">
        <v>45982</v>
      </c>
      <c r="AK10" s="362" t="n">
        <v>46030</v>
      </c>
      <c r="AL10" s="384">
        <f>Table13[[#This Row],[Launch 
Date.]]-Table13[[#This Row],[วันที่การตลาดอนุมัติ
ใบขอรหัส.]]</f>
        <v/>
      </c>
      <c r="AM10" s="499" t="n">
        <v>46002</v>
      </c>
      <c r="AN10" s="384">
        <f>Table13[[#This Row],[Launch 
Date.]]-Table13[[#This Row],[วันที่ใบขอรหัสจบ(ภายใน)]]</f>
        <v/>
      </c>
      <c r="AO10" s="35" t="n">
        <v>1</v>
      </c>
      <c r="AP10" s="35" t="n"/>
      <c r="AQ10" s="35" t="n">
        <v>1</v>
      </c>
      <c r="AR10" s="35" t="inlineStr">
        <is>
          <t>All Store</t>
        </is>
      </c>
      <c r="AS10" s="436" t="n">
        <v>0</v>
      </c>
      <c r="AT10" s="436" t="n"/>
      <c r="AU10" s="522" t="n">
        <v>30.07</v>
      </c>
      <c r="AV10" s="522" t="n">
        <v>30.07</v>
      </c>
      <c r="AW10" s="485" t="n">
        <v>31.25</v>
      </c>
      <c r="AX10" s="878" t="n">
        <v>29.46</v>
      </c>
      <c r="AY10" s="884" t="n"/>
      <c r="AZ10" s="420" t="n"/>
      <c r="BA10" s="420" t="n"/>
      <c r="BB10" s="461" t="n"/>
      <c r="BC10" s="879" t="n"/>
      <c r="BD10" s="461" t="n"/>
      <c r="BE10" s="463" t="n"/>
      <c r="BF10" s="463" t="n"/>
      <c r="BG10" s="463" t="n"/>
      <c r="BH10" s="463" t="n"/>
      <c r="BI10" s="463">
        <f>AVERAGE(AW10:BH10)</f>
        <v/>
      </c>
      <c r="BJ10" s="463">
        <f>BI10-AU10</f>
        <v/>
      </c>
      <c r="BK10" s="413" t="n"/>
      <c r="BL10" s="410" t="n"/>
      <c r="BM10" s="474" t="n">
        <v>820</v>
      </c>
      <c r="BN10" s="486" t="n">
        <v>1</v>
      </c>
      <c r="BO10" s="385" t="n"/>
      <c r="BP10" s="385" t="n"/>
      <c r="BQ10" s="385" t="n"/>
      <c r="BR10" s="385" t="n"/>
      <c r="BS10" s="385" t="n">
        <v>1</v>
      </c>
      <c r="BT10" s="441" t="n">
        <v>4603385</v>
      </c>
      <c r="BU10" s="441" t="n">
        <v>2061592</v>
      </c>
      <c r="BV10" s="441" t="n">
        <v>-23</v>
      </c>
      <c r="BW10" s="441" t="n">
        <v>0</v>
      </c>
      <c r="BX10" s="441" t="n"/>
      <c r="BY10" s="441" t="n"/>
      <c r="BZ10" s="441" t="n"/>
      <c r="CA10" s="441" t="n"/>
      <c r="CB10" s="441" t="n"/>
      <c r="CC10" s="441" t="n"/>
      <c r="CD10" s="441" t="n"/>
      <c r="CE10" s="441" t="n"/>
      <c r="CF10" s="880">
        <f>SUM(BT10:CE10)</f>
        <v/>
      </c>
    </row>
    <row r="11" ht="42" customFormat="1" customHeight="1" s="324">
      <c r="A11" s="464" t="n">
        <v>8</v>
      </c>
      <c r="B11" s="559" t="inlineStr">
        <is>
          <t>เบอร์เกอร์ รองท้อง</t>
        </is>
      </c>
      <c r="C11" s="464" t="inlineStr">
        <is>
          <t>PMA02</t>
        </is>
      </c>
      <c r="D11" s="652" t="inlineStr">
        <is>
          <t>Q1</t>
        </is>
      </c>
      <c r="E11" s="464" t="inlineStr">
        <is>
          <t>Jan</t>
        </is>
      </c>
      <c r="F11" s="572" t="inlineStr">
        <is>
          <t>90101418</t>
        </is>
      </c>
      <c r="G11" s="606" t="inlineStr">
        <is>
          <t>เกี๊ยวหมึก(หมึกผสมหมู)ซีฟู้ด107g,7-11</t>
        </is>
      </c>
      <c r="H11" s="573" t="n">
        <v>1</v>
      </c>
      <c r="I11" s="574" t="n">
        <v>2</v>
      </c>
      <c r="J11" s="464" t="n">
        <v>0</v>
      </c>
      <c r="K11" s="484" t="n"/>
      <c r="L11" s="589" t="n">
        <v>100</v>
      </c>
      <c r="M11" s="587" t="n">
        <v>0.13</v>
      </c>
      <c r="N11" s="587" t="n">
        <v>1</v>
      </c>
      <c r="O11" s="587" t="n">
        <v>1</v>
      </c>
      <c r="P11" s="587" t="n">
        <v>0</v>
      </c>
      <c r="Q11" s="587" t="n">
        <v>0</v>
      </c>
      <c r="R11" s="587" t="n"/>
      <c r="S11" s="394" t="n"/>
      <c r="T11" s="394" t="n"/>
      <c r="U11" s="587" t="n">
        <v>1</v>
      </c>
      <c r="V11" s="587" t="n">
        <v>0</v>
      </c>
      <c r="W11" s="587" t="n">
        <v>0</v>
      </c>
      <c r="X11" s="394" t="n"/>
      <c r="Y11" s="394" t="n"/>
      <c r="Z11" s="394" t="n"/>
      <c r="AA11" s="394" t="n"/>
      <c r="AB11" s="394" t="n"/>
      <c r="AC11" s="360" t="n"/>
      <c r="AD11" s="360" t="n"/>
      <c r="AE11" s="360" t="n"/>
      <c r="AF11" s="360" t="n"/>
      <c r="AG11" s="361">
        <f>Table13[[#This Row],[วัน Pre-test 
run]]-Table13[[#This Row],[วันที่การตลาด
อนุมัติใบขอรหัส]]</f>
        <v/>
      </c>
      <c r="AH11" s="361" t="n"/>
      <c r="AI11" s="361">
        <f>Table13[[#This Row],[Lead 
time (วัน)]]-Table13[[#This Row],[จำนวนวัน
ที่รอ artwork (วัน)]]</f>
        <v/>
      </c>
      <c r="AJ11" s="362" t="n">
        <v>45955</v>
      </c>
      <c r="AK11" s="362" t="n">
        <v>46030</v>
      </c>
      <c r="AL11" s="384">
        <f>Table13[[#This Row],[Launch 
Date.]]-Table13[[#This Row],[วันที่การตลาดอนุมัติ
ใบขอรหัส.]]</f>
        <v/>
      </c>
      <c r="AM11" s="499" t="n">
        <v>45986</v>
      </c>
      <c r="AN11" s="384">
        <f>Table13[[#This Row],[Launch 
Date.]]-Table13[[#This Row],[วันที่ใบขอรหัสจบ(ภายใน)]]</f>
        <v/>
      </c>
      <c r="AO11" s="35" t="n">
        <v>1</v>
      </c>
      <c r="AP11" s="35" t="n"/>
      <c r="AQ11" s="35" t="n">
        <v>1</v>
      </c>
      <c r="AR11" s="35" t="inlineStr">
        <is>
          <t>All Store</t>
        </is>
      </c>
      <c r="AS11" s="436" t="n">
        <v>0</v>
      </c>
      <c r="AT11" s="436" t="n"/>
      <c r="AU11" s="522" t="n">
        <v>17.03</v>
      </c>
      <c r="AV11" s="522" t="n">
        <v>17.03</v>
      </c>
      <c r="AW11" s="485" t="n">
        <v>20.64</v>
      </c>
      <c r="AX11" s="878" t="n">
        <v>21.53</v>
      </c>
      <c r="AY11" s="878" t="n">
        <v>18.12</v>
      </c>
      <c r="AZ11" s="420" t="n">
        <v>17.57</v>
      </c>
      <c r="BA11" s="420" t="n"/>
      <c r="BB11" s="461" t="n"/>
      <c r="BC11" s="879" t="n"/>
      <c r="BD11" s="461" t="n"/>
      <c r="BE11" s="463" t="n"/>
      <c r="BF11" s="463" t="n"/>
      <c r="BG11" s="463" t="n"/>
      <c r="BH11" s="463" t="n"/>
      <c r="BI11" s="463">
        <f>AVERAGE(AW11:BH11)</f>
        <v/>
      </c>
      <c r="BJ11" s="463">
        <f>BI11-AU11</f>
        <v/>
      </c>
      <c r="BK11" s="413" t="n"/>
      <c r="BL11" s="410" t="n"/>
      <c r="BM11" s="521" t="inlineStr">
        <is>
          <t>ไม่ระบุ nutrition บน aw</t>
        </is>
      </c>
      <c r="BN11" s="486" t="n"/>
      <c r="BO11" s="385" t="n"/>
      <c r="BP11" s="385" t="n"/>
      <c r="BQ11" s="385" t="n"/>
      <c r="BR11" s="385" t="n"/>
      <c r="BS11" s="385" t="n">
        <v>1</v>
      </c>
      <c r="BT11" s="441" t="n">
        <v>6961712</v>
      </c>
      <c r="BU11" s="441" t="n">
        <v>3298219</v>
      </c>
      <c r="BV11" s="441" t="n">
        <v>2185595</v>
      </c>
      <c r="BW11" s="441" t="n">
        <v>1617363</v>
      </c>
      <c r="BX11" s="441" t="n"/>
      <c r="BY11" s="441" t="n"/>
      <c r="BZ11" s="441" t="n"/>
      <c r="CA11" s="441" t="n"/>
      <c r="CB11" s="441" t="n"/>
      <c r="CC11" s="441" t="n"/>
      <c r="CD11" s="441" t="n"/>
      <c r="CE11" s="441" t="n"/>
      <c r="CF11" s="880">
        <f>SUM(BT11:CE11)</f>
        <v/>
      </c>
    </row>
    <row r="12" ht="42" customFormat="1" customHeight="1" s="324">
      <c r="A12" s="464" t="n">
        <v>9</v>
      </c>
      <c r="B12" s="559" t="inlineStr">
        <is>
          <t>ติ่มซำ (นึ่ง)</t>
        </is>
      </c>
      <c r="C12" s="464" t="inlineStr">
        <is>
          <t>PMA24</t>
        </is>
      </c>
      <c r="D12" s="652" t="inlineStr">
        <is>
          <t>Q1</t>
        </is>
      </c>
      <c r="E12" s="464" t="inlineStr">
        <is>
          <t>Jan</t>
        </is>
      </c>
      <c r="F12" s="572" t="n">
        <v>90108256</v>
      </c>
      <c r="G12" s="606" t="inlineStr">
        <is>
          <t>JBBPไก่กุ้งไข่นกกระทาEZYGO110g,7-11</t>
        </is>
      </c>
      <c r="H12" s="573" t="n">
        <v>1</v>
      </c>
      <c r="I12" s="574" t="n">
        <v>2</v>
      </c>
      <c r="J12" s="464" t="n">
        <v>0</v>
      </c>
      <c r="K12" s="484" t="n"/>
      <c r="L12" s="589" t="n">
        <v>100</v>
      </c>
      <c r="M12" s="587" t="n">
        <v>0.21</v>
      </c>
      <c r="N12" s="587" t="n">
        <v>1</v>
      </c>
      <c r="O12" s="587" t="n"/>
      <c r="P12" s="587" t="n"/>
      <c r="Q12" s="587" t="n">
        <v>1</v>
      </c>
      <c r="R12" s="587" t="inlineStr">
        <is>
          <t>สินค้าไม่ผ่าน</t>
        </is>
      </c>
      <c r="S12" s="394" t="n"/>
      <c r="T12" s="527" t="inlineStr">
        <is>
          <t>แป้งเนื้อสัมผัสแห้ง,เมื่อเคี้ยวลักษณะเป็นก้อน</t>
        </is>
      </c>
      <c r="U12" s="394" t="n">
        <v>1</v>
      </c>
      <c r="V12" s="394" t="n"/>
      <c r="W12" s="394" t="n"/>
      <c r="X12" s="394" t="n"/>
      <c r="Y12" s="394" t="n"/>
      <c r="Z12" s="394" t="n"/>
      <c r="AA12" s="394" t="n"/>
      <c r="AB12" s="394" t="n"/>
      <c r="AC12" s="360" t="n"/>
      <c r="AD12" s="360" t="n"/>
      <c r="AE12" s="360" t="n"/>
      <c r="AF12" s="360" t="n"/>
      <c r="AG12" s="361">
        <f>Table13[[#This Row],[วัน Pre-test 
run]]-Table13[[#This Row],[วันที่การตลาด
อนุมัติใบขอรหัส]]</f>
        <v/>
      </c>
      <c r="AH12" s="361" t="n"/>
      <c r="AI12" s="361">
        <f>Table13[[#This Row],[Lead 
time (วัน)]]-Table13[[#This Row],[จำนวนวัน
ที่รอ artwork (วัน)]]</f>
        <v/>
      </c>
      <c r="AJ12" s="362" t="n">
        <v>45971</v>
      </c>
      <c r="AK12" s="362" t="n">
        <v>46036</v>
      </c>
      <c r="AL12" s="384">
        <f>Table13[[#This Row],[Launch 
Date.]]-Table13[[#This Row],[วันที่การตลาดอนุมัติ
ใบขอรหัส.]]</f>
        <v/>
      </c>
      <c r="AM12" s="499" t="n">
        <v>45975</v>
      </c>
      <c r="AN12" s="384">
        <f>Table13[[#This Row],[Launch 
Date.]]-Table13[[#This Row],[วันที่ใบขอรหัสจบ(ภายใน)]]</f>
        <v/>
      </c>
      <c r="AO12" s="35" t="n">
        <v>1</v>
      </c>
      <c r="AP12" s="35" t="n"/>
      <c r="AQ12" s="35" t="n">
        <v>1</v>
      </c>
      <c r="AR12" s="35" t="inlineStr">
        <is>
          <t>All Store</t>
        </is>
      </c>
      <c r="AS12" s="436" t="n">
        <v>0</v>
      </c>
      <c r="AT12" s="436" t="n"/>
      <c r="AU12" s="522" t="n">
        <v>40.82</v>
      </c>
      <c r="AV12" s="522" t="n">
        <v>40.82</v>
      </c>
      <c r="AW12" s="485" t="n">
        <v>52.79</v>
      </c>
      <c r="AX12" s="878" t="n">
        <v>51.43</v>
      </c>
      <c r="AY12" s="878" t="n">
        <v>48.3</v>
      </c>
      <c r="AZ12" s="602" t="n"/>
      <c r="BA12" s="420" t="n"/>
      <c r="BB12" s="461" t="n"/>
      <c r="BC12" s="879" t="n"/>
      <c r="BD12" s="461" t="n"/>
      <c r="BE12" s="463" t="n"/>
      <c r="BF12" s="463" t="n"/>
      <c r="BG12" s="446" t="n"/>
      <c r="BH12" s="446" t="n"/>
      <c r="BI12" s="463">
        <f>AVERAGE(AW12:BH12)</f>
        <v/>
      </c>
      <c r="BJ12" s="463">
        <f>BI12-AU12</f>
        <v/>
      </c>
      <c r="BK12" s="413" t="n"/>
      <c r="BL12" s="410" t="n"/>
      <c r="BM12" s="521" t="inlineStr">
        <is>
          <t>ไม่ระบุ nutrition บน aw</t>
        </is>
      </c>
      <c r="BN12" s="486" t="n"/>
      <c r="BO12" s="385" t="n"/>
      <c r="BP12" s="385" t="n"/>
      <c r="BQ12" s="385" t="n"/>
      <c r="BR12" s="385" t="n"/>
      <c r="BS12" s="385" t="n"/>
      <c r="BT12" s="441" t="n">
        <v>1624628</v>
      </c>
      <c r="BU12" s="441" t="n">
        <v>1287205</v>
      </c>
      <c r="BV12" s="441" t="n">
        <v>562597</v>
      </c>
      <c r="BW12" s="441" t="n">
        <v>19</v>
      </c>
      <c r="BX12" s="441" t="n"/>
      <c r="BY12" s="441" t="n"/>
      <c r="BZ12" s="441" t="n"/>
      <c r="CA12" s="441" t="n"/>
      <c r="CB12" s="441" t="n"/>
      <c r="CC12" s="441" t="n"/>
      <c r="CD12" s="441" t="n"/>
      <c r="CE12" s="441" t="n"/>
      <c r="CF12" s="880">
        <f>SUM(BT12:CE12)</f>
        <v/>
      </c>
    </row>
    <row r="13" ht="42" customFormat="1" customHeight="1" s="324">
      <c r="A13" s="464" t="n">
        <v>10</v>
      </c>
      <c r="B13" s="559" t="inlineStr">
        <is>
          <t>ติ่มซำ (นึ่ง)</t>
        </is>
      </c>
      <c r="C13" s="464" t="inlineStr">
        <is>
          <t>PMA24</t>
        </is>
      </c>
      <c r="D13" s="652" t="inlineStr">
        <is>
          <t>Q1</t>
        </is>
      </c>
      <c r="E13" s="464" t="inlineStr">
        <is>
          <t>Jan</t>
        </is>
      </c>
      <c r="F13" s="575" t="n">
        <v>90102093</v>
      </c>
      <c r="G13" s="608" t="inlineStr">
        <is>
          <t>สาหร่ายห่อหมูผสมไก่เนื้อปลาบดEZYGO69gคัพ</t>
        </is>
      </c>
      <c r="H13" s="573" t="n">
        <v>2</v>
      </c>
      <c r="I13" s="574" t="n">
        <v>1</v>
      </c>
      <c r="J13" s="464" t="n">
        <v>0</v>
      </c>
      <c r="K13" s="484" t="n"/>
      <c r="L13" s="588" t="n">
        <v>83.33</v>
      </c>
      <c r="M13" s="587" t="n">
        <v>0.21</v>
      </c>
      <c r="N13" s="587" t="n">
        <v>1</v>
      </c>
      <c r="O13" s="587" t="n">
        <v>1</v>
      </c>
      <c r="P13" s="587" t="n"/>
      <c r="Q13" s="587" t="n"/>
      <c r="R13" s="587" t="n"/>
      <c r="S13" s="394" t="n"/>
      <c r="T13" s="394" t="n"/>
      <c r="U13" s="394" t="n">
        <v>1</v>
      </c>
      <c r="V13" s="394" t="n"/>
      <c r="W13" s="394" t="n"/>
      <c r="X13" s="394" t="n"/>
      <c r="Y13" s="394" t="n"/>
      <c r="Z13" s="394" t="n"/>
      <c r="AA13" s="394" t="n"/>
      <c r="AB13" s="394" t="n"/>
      <c r="AC13" s="360" t="n"/>
      <c r="AD13" s="360" t="n"/>
      <c r="AE13" s="360" t="n"/>
      <c r="AF13" s="360" t="n"/>
      <c r="AG13" s="361">
        <f>Table13[[#This Row],[วัน Pre-test 
run]]-Table13[[#This Row],[วันที่การตลาด
อนุมัติใบขอรหัส]]</f>
        <v/>
      </c>
      <c r="AH13" s="361" t="n"/>
      <c r="AI13" s="361">
        <f>Table13[[#This Row],[Lead 
time (วัน)]]-Table13[[#This Row],[จำนวนวัน
ที่รอ artwork (วัน)]]</f>
        <v/>
      </c>
      <c r="AJ13" s="362" t="n">
        <v>46001</v>
      </c>
      <c r="AK13" s="362" t="n">
        <v>46043</v>
      </c>
      <c r="AL13" s="384">
        <f>Table13[[#This Row],[Launch 
Date.]]-Table13[[#This Row],[วันที่การตลาดอนุมัติ
ใบขอรหัส.]]</f>
        <v/>
      </c>
      <c r="AM13" s="499" t="n">
        <v>46027</v>
      </c>
      <c r="AN13" s="384">
        <f>Table13[[#This Row],[Launch 
Date.]]-Table13[[#This Row],[วันที่ใบขอรหัสจบ(ภายใน)]]</f>
        <v/>
      </c>
      <c r="AO13" s="35" t="n">
        <v>1</v>
      </c>
      <c r="AP13" s="35" t="n"/>
      <c r="AQ13" s="35" t="n">
        <v>1</v>
      </c>
      <c r="AR13" s="35" t="inlineStr">
        <is>
          <t>All Store</t>
        </is>
      </c>
      <c r="AS13" s="436" t="n">
        <v>1</v>
      </c>
      <c r="AT13" s="603" t="inlineStr">
        <is>
          <t>LB., PKG. สูงกว่าใบขอรหัส</t>
        </is>
      </c>
      <c r="AU13" s="522" t="n">
        <v>32.6</v>
      </c>
      <c r="AV13" s="522" t="n">
        <v>32.6</v>
      </c>
      <c r="AW13" s="485" t="n">
        <v>20.65</v>
      </c>
      <c r="AX13" s="878" t="n">
        <v>23.8</v>
      </c>
      <c r="AY13" s="878" t="n">
        <v>23.76</v>
      </c>
      <c r="AZ13" s="420" t="n">
        <v>18.52</v>
      </c>
      <c r="BA13" s="420" t="n"/>
      <c r="BB13" s="461" t="n"/>
      <c r="BC13" s="879" t="n"/>
      <c r="BD13" s="461" t="n"/>
      <c r="BE13" s="463" t="n"/>
      <c r="BF13" s="463" t="n"/>
      <c r="BG13" s="446" t="n"/>
      <c r="BH13" s="446" t="n"/>
      <c r="BI13" s="463">
        <f>AVERAGE(AW13:BH13)</f>
        <v/>
      </c>
      <c r="BJ13" s="463">
        <f>BI13-AU13</f>
        <v/>
      </c>
      <c r="BK13" s="413" t="n"/>
      <c r="BL13" s="410" t="n"/>
      <c r="BM13" s="521" t="inlineStr">
        <is>
          <t>ไม่ระบุ nutrition บน aw</t>
        </is>
      </c>
      <c r="BN13" s="486" t="n"/>
      <c r="BO13" s="385" t="n"/>
      <c r="BP13" s="385" t="n"/>
      <c r="BQ13" s="385" t="n"/>
      <c r="BR13" s="385" t="n"/>
      <c r="BS13" s="385" t="n"/>
      <c r="BT13" s="441" t="n">
        <v>1446130</v>
      </c>
      <c r="BU13" s="441" t="n">
        <v>2537560</v>
      </c>
      <c r="BV13" s="441" t="n">
        <v>877397</v>
      </c>
      <c r="BW13" s="441" t="n">
        <v>302588</v>
      </c>
      <c r="BX13" s="441" t="n"/>
      <c r="BY13" s="441" t="n"/>
      <c r="BZ13" s="441" t="n"/>
      <c r="CA13" s="441" t="n"/>
      <c r="CB13" s="441" t="n"/>
      <c r="CC13" s="441" t="n"/>
      <c r="CD13" s="441" t="n"/>
      <c r="CE13" s="441" t="n"/>
      <c r="CF13" s="880">
        <f>SUM(BT13:CE13)</f>
        <v/>
      </c>
    </row>
    <row r="14" ht="42" customFormat="1" customHeight="1" s="324">
      <c r="A14" s="464" t="n">
        <v>11</v>
      </c>
      <c r="B14" s="559" t="inlineStr">
        <is>
          <t>ติ่มซำ (นึ่ง)</t>
        </is>
      </c>
      <c r="C14" s="464" t="inlineStr">
        <is>
          <t>PMA24</t>
        </is>
      </c>
      <c r="D14" s="652" t="inlineStr">
        <is>
          <t>Q1</t>
        </is>
      </c>
      <c r="E14" s="464" t="inlineStr">
        <is>
          <t>Jan</t>
        </is>
      </c>
      <c r="F14" s="576" t="n">
        <v>90108259</v>
      </c>
      <c r="G14" s="609" t="inlineStr">
        <is>
          <t>แรบบิทถั่วแดง ตรา อีซี่โก 50 กรัม, 7-11</t>
        </is>
      </c>
      <c r="H14" s="573" t="n">
        <v>1</v>
      </c>
      <c r="I14" s="574" t="n">
        <v>2</v>
      </c>
      <c r="J14" s="464" t="n">
        <v>0</v>
      </c>
      <c r="K14" s="484" t="n"/>
      <c r="L14" s="588" t="n">
        <v>83.33</v>
      </c>
      <c r="M14" s="587" t="n">
        <v>0.68</v>
      </c>
      <c r="N14" s="587" t="n">
        <v>1</v>
      </c>
      <c r="O14" s="587" t="n">
        <v>1</v>
      </c>
      <c r="P14" s="587" t="n"/>
      <c r="Q14" s="587" t="n"/>
      <c r="R14" s="587" t="n"/>
      <c r="S14" s="394" t="n"/>
      <c r="T14" s="394" t="n"/>
      <c r="U14" s="394" t="n">
        <v>1</v>
      </c>
      <c r="V14" s="394" t="n"/>
      <c r="W14" s="394" t="n"/>
      <c r="X14" s="394" t="n"/>
      <c r="Y14" s="394" t="n"/>
      <c r="Z14" s="394" t="n"/>
      <c r="AA14" s="394" t="n"/>
      <c r="AB14" s="394" t="n"/>
      <c r="AC14" s="360" t="n"/>
      <c r="AD14" s="360" t="n"/>
      <c r="AE14" s="360" t="n"/>
      <c r="AF14" s="360" t="n"/>
      <c r="AG14" s="361">
        <f>Table13[[#This Row],[วัน Pre-test 
run]]-Table13[[#This Row],[วันที่การตลาด
อนุมัติใบขอรหัส]]</f>
        <v/>
      </c>
      <c r="AH14" s="361" t="n"/>
      <c r="AI14" s="361">
        <f>Table13[[#This Row],[Lead 
time (วัน)]]-Table13[[#This Row],[จำนวนวัน
ที่รอ artwork (วัน)]]</f>
        <v/>
      </c>
      <c r="AJ14" s="362" t="n">
        <v>45988</v>
      </c>
      <c r="AK14" s="362" t="n">
        <v>46050</v>
      </c>
      <c r="AL14" s="384">
        <f>Table13[[#This Row],[Launch 
Date.]]-Table13[[#This Row],[วันที่การตลาดอนุมัติ
ใบขอรหัส.]]</f>
        <v/>
      </c>
      <c r="AM14" s="499" t="n">
        <v>45999</v>
      </c>
      <c r="AN14" s="384">
        <f>Table13[[#This Row],[Launch 
Date.]]-Table13[[#This Row],[วันที่ใบขอรหัสจบ(ภายใน)]]</f>
        <v/>
      </c>
      <c r="AO14" s="35" t="n">
        <v>1</v>
      </c>
      <c r="AP14" s="35" t="n"/>
      <c r="AQ14" s="35" t="n">
        <v>1</v>
      </c>
      <c r="AR14" s="35" t="inlineStr">
        <is>
          <t>All Store</t>
        </is>
      </c>
      <c r="AS14" s="436" t="n">
        <v>0</v>
      </c>
      <c r="AT14" s="436" t="n"/>
      <c r="AU14" s="522" t="n">
        <v>39.7</v>
      </c>
      <c r="AV14" s="522" t="n">
        <v>39.7</v>
      </c>
      <c r="AW14" s="485" t="n">
        <v>42.26</v>
      </c>
      <c r="AX14" s="878" t="n">
        <v>44</v>
      </c>
      <c r="AY14" s="878" t="n">
        <v>44.68</v>
      </c>
      <c r="AZ14" s="420" t="n">
        <v>43.4</v>
      </c>
      <c r="BA14" s="420" t="n"/>
      <c r="BB14" s="461" t="n"/>
      <c r="BC14" s="879" t="n"/>
      <c r="BD14" s="461" t="n"/>
      <c r="BE14" s="463" t="n"/>
      <c r="BF14" s="463" t="n"/>
      <c r="BG14" s="446" t="n"/>
      <c r="BH14" s="446" t="n"/>
      <c r="BI14" s="463">
        <f>AVERAGE(AW14:BH14)</f>
        <v/>
      </c>
      <c r="BJ14" s="463">
        <f>BI14-AU14</f>
        <v/>
      </c>
      <c r="BK14" s="413" t="n"/>
      <c r="BL14" s="410" t="n"/>
      <c r="BM14" s="521" t="inlineStr">
        <is>
          <t>ไม่ระบุ nutrition บน aw</t>
        </is>
      </c>
      <c r="BN14" s="486" t="n"/>
      <c r="BO14" s="385" t="n"/>
      <c r="BP14" s="385" t="n"/>
      <c r="BQ14" s="385" t="n"/>
      <c r="BR14" s="385" t="n"/>
      <c r="BS14" s="385" t="n"/>
      <c r="BT14" s="441" t="n">
        <v>773560</v>
      </c>
      <c r="BU14" s="441" t="n">
        <v>1187552</v>
      </c>
      <c r="BV14" s="441" t="n">
        <v>811619</v>
      </c>
      <c r="BW14" s="441" t="n">
        <v>547221</v>
      </c>
      <c r="BX14" s="441" t="n"/>
      <c r="BY14" s="441" t="n"/>
      <c r="BZ14" s="441" t="n"/>
      <c r="CA14" s="441" t="n"/>
      <c r="CB14" s="441" t="n"/>
      <c r="CC14" s="441" t="n"/>
      <c r="CD14" s="441" t="n"/>
      <c r="CE14" s="441" t="n"/>
      <c r="CF14" s="880">
        <f>SUM(BT14:CE14)</f>
        <v/>
      </c>
    </row>
    <row r="15" ht="42" customFormat="1" customHeight="1" s="324">
      <c r="A15" s="464" t="n">
        <v>12</v>
      </c>
      <c r="B15" s="559" t="inlineStr">
        <is>
          <t>ติ่มซำ (นึ่ง)</t>
        </is>
      </c>
      <c r="C15" s="464" t="inlineStr">
        <is>
          <t>PMA24</t>
        </is>
      </c>
      <c r="D15" s="652" t="inlineStr">
        <is>
          <t>Q1</t>
        </is>
      </c>
      <c r="E15" s="464" t="inlineStr">
        <is>
          <t>Jan</t>
        </is>
      </c>
      <c r="F15" s="577" t="n">
        <v>90108254</v>
      </c>
      <c r="G15" s="609" t="inlineStr">
        <is>
          <t>เปาลาวาช็อกโกแลต ตรา อีซี่โก 80กรัม,7-11</t>
        </is>
      </c>
      <c r="H15" s="573" t="n">
        <v>2</v>
      </c>
      <c r="I15" s="574" t="n">
        <v>2</v>
      </c>
      <c r="J15" s="464" t="n">
        <v>0</v>
      </c>
      <c r="K15" s="484" t="n"/>
      <c r="L15" s="588" t="n">
        <v>100</v>
      </c>
      <c r="M15" s="587" t="n">
        <v>0</v>
      </c>
      <c r="N15" s="587" t="n">
        <v>1</v>
      </c>
      <c r="O15" s="587" t="n">
        <v>1</v>
      </c>
      <c r="P15" s="587" t="n"/>
      <c r="Q15" s="587" t="n"/>
      <c r="R15" s="587" t="n"/>
      <c r="S15" s="394" t="n"/>
      <c r="T15" s="394" t="n"/>
      <c r="U15" s="394" t="n">
        <v>1</v>
      </c>
      <c r="V15" s="394" t="n"/>
      <c r="W15" s="394" t="n"/>
      <c r="X15" s="394" t="n"/>
      <c r="Y15" s="394" t="n"/>
      <c r="Z15" s="394" t="n"/>
      <c r="AA15" s="394" t="n"/>
      <c r="AB15" s="394" t="n"/>
      <c r="AC15" s="360" t="n"/>
      <c r="AD15" s="360" t="n"/>
      <c r="AE15" s="360" t="n"/>
      <c r="AF15" s="360" t="n"/>
      <c r="AG15" s="361">
        <f>Table13[[#This Row],[วัน Pre-test 
run]]-Table13[[#This Row],[วันที่การตลาด
อนุมัติใบขอรหัส]]</f>
        <v/>
      </c>
      <c r="AH15" s="361" t="n"/>
      <c r="AI15" s="361">
        <f>Table13[[#This Row],[Lead 
time (วัน)]]-Table13[[#This Row],[จำนวนวัน
ที่รอ artwork (วัน)]]</f>
        <v/>
      </c>
      <c r="AJ15" s="362" t="n">
        <v>45995</v>
      </c>
      <c r="AK15" s="362" t="n">
        <v>46050</v>
      </c>
      <c r="AL15" s="384">
        <f>Table13[[#This Row],[Launch 
Date.]]-Table13[[#This Row],[วันที่การตลาดอนุมัติ
ใบขอรหัส.]]</f>
        <v/>
      </c>
      <c r="AM15" s="499" t="n">
        <v>46002</v>
      </c>
      <c r="AN15" s="384">
        <f>Table13[[#This Row],[Launch 
Date.]]-Table13[[#This Row],[วันที่ใบขอรหัสจบ(ภายใน)]]</f>
        <v/>
      </c>
      <c r="AO15" s="35" t="n">
        <v>1</v>
      </c>
      <c r="AP15" s="35" t="n"/>
      <c r="AQ15" s="35" t="n">
        <v>1</v>
      </c>
      <c r="AR15" s="35" t="inlineStr">
        <is>
          <t>All Store</t>
        </is>
      </c>
      <c r="AS15" s="436" t="n">
        <v>0</v>
      </c>
      <c r="AT15" s="436" t="n"/>
      <c r="AU15" s="522" t="n">
        <v>31.44</v>
      </c>
      <c r="AV15" s="522" t="n">
        <v>31.44</v>
      </c>
      <c r="AW15" s="485" t="n">
        <v>30.48</v>
      </c>
      <c r="AX15" s="878" t="n">
        <v>35.84</v>
      </c>
      <c r="AY15" s="878" t="n">
        <v>26.15</v>
      </c>
      <c r="AZ15" s="420" t="n">
        <v>12.03</v>
      </c>
      <c r="BA15" s="420" t="n"/>
      <c r="BB15" s="461" t="n"/>
      <c r="BC15" s="879" t="n"/>
      <c r="BD15" s="461" t="n"/>
      <c r="BE15" s="463" t="n"/>
      <c r="BF15" s="463" t="n"/>
      <c r="BG15" s="446" t="n"/>
      <c r="BH15" s="446" t="n"/>
      <c r="BI15" s="463">
        <f>AVERAGE(AW15:BH15)</f>
        <v/>
      </c>
      <c r="BJ15" s="463">
        <f>BI15-AU15</f>
        <v/>
      </c>
      <c r="BK15" s="413" t="n"/>
      <c r="BL15" s="410" t="n"/>
      <c r="BM15" s="521" t="inlineStr">
        <is>
          <t>ไม่ระบุ nutrition บน aw</t>
        </is>
      </c>
      <c r="BN15" s="486" t="n"/>
      <c r="BO15" s="385" t="n"/>
      <c r="BP15" s="385" t="n"/>
      <c r="BQ15" s="385" t="n"/>
      <c r="BR15" s="385" t="n"/>
      <c r="BS15" s="385" t="n"/>
      <c r="BT15" s="441" t="n">
        <v>568921</v>
      </c>
      <c r="BU15" s="441" t="n">
        <v>1066129</v>
      </c>
      <c r="BV15" s="441" t="n">
        <v>270317</v>
      </c>
      <c r="BW15" s="441" t="n">
        <v>62483</v>
      </c>
      <c r="BX15" s="441" t="n"/>
      <c r="BY15" s="441" t="n"/>
      <c r="BZ15" s="441" t="n"/>
      <c r="CA15" s="441" t="n"/>
      <c r="CB15" s="441" t="n"/>
      <c r="CC15" s="441" t="n"/>
      <c r="CD15" s="441" t="n"/>
      <c r="CE15" s="487" t="n"/>
      <c r="CF15" s="880">
        <f>SUM(BT15:CE15)</f>
        <v/>
      </c>
    </row>
    <row r="16" ht="42" customFormat="1" customHeight="1" s="324">
      <c r="A16" s="464" t="n">
        <v>13</v>
      </c>
      <c r="B16" s="559" t="inlineStr">
        <is>
          <t>กับข้าว</t>
        </is>
      </c>
      <c r="C16" s="464" t="inlineStr">
        <is>
          <t>PMA06</t>
        </is>
      </c>
      <c r="D16" s="652" t="inlineStr">
        <is>
          <t>Q1</t>
        </is>
      </c>
      <c r="E16" s="464" t="inlineStr">
        <is>
          <t>Jan</t>
        </is>
      </c>
      <c r="F16" s="572" t="n">
        <v>90139687</v>
      </c>
      <c r="G16" s="610" t="inlineStr">
        <is>
          <t>พะแนงหมู ตราเซเว่นเฟรช IMP2025</t>
        </is>
      </c>
      <c r="H16" s="573" t="n">
        <v>2</v>
      </c>
      <c r="I16" s="574" t="n">
        <v>1</v>
      </c>
      <c r="J16" s="464" t="n">
        <v>0</v>
      </c>
      <c r="K16" s="484" t="n"/>
      <c r="L16" s="588" t="n">
        <v>100</v>
      </c>
      <c r="M16" s="587" t="n">
        <v>0</v>
      </c>
      <c r="N16" s="587" t="n">
        <v>1</v>
      </c>
      <c r="O16" s="587" t="n">
        <v>1</v>
      </c>
      <c r="P16" s="587" t="n"/>
      <c r="Q16" s="587" t="n"/>
      <c r="R16" s="587" t="n"/>
      <c r="S16" s="394" t="n"/>
      <c r="T16" s="394" t="n"/>
      <c r="U16" s="394" t="n">
        <v>1</v>
      </c>
      <c r="V16" s="394" t="n"/>
      <c r="W16" s="394" t="n"/>
      <c r="X16" s="394" t="n"/>
      <c r="Y16" s="394" t="n"/>
      <c r="Z16" s="394" t="n"/>
      <c r="AA16" s="394" t="n"/>
      <c r="AB16" s="394" t="n"/>
      <c r="AC16" s="360" t="n"/>
      <c r="AD16" s="360" t="n"/>
      <c r="AE16" s="360" t="n"/>
      <c r="AF16" s="360" t="n"/>
      <c r="AG16" s="361">
        <f>Table13[[#This Row],[วัน Pre-test 
run]]-Table13[[#This Row],[วันที่การตลาด
อนุมัติใบขอรหัส]]</f>
        <v/>
      </c>
      <c r="AH16" s="361" t="n"/>
      <c r="AI16" s="361">
        <f>Table13[[#This Row],[Lead 
time (วัน)]]-Table13[[#This Row],[จำนวนวัน
ที่รอ artwork (วัน)]]</f>
        <v/>
      </c>
      <c r="AJ16" s="362" t="n">
        <v>45987</v>
      </c>
      <c r="AK16" s="362" t="n">
        <v>46046</v>
      </c>
      <c r="AL16" s="384">
        <f>Table13[[#This Row],[Launch 
Date.]]-Table13[[#This Row],[วันที่การตลาดอนุมัติ
ใบขอรหัส.]]</f>
        <v/>
      </c>
      <c r="AM16" s="499" t="n">
        <v>45993</v>
      </c>
      <c r="AN16" s="384">
        <f>Table13[[#This Row],[Launch 
Date.]]-Table13[[#This Row],[วันที่ใบขอรหัสจบ(ภายใน)]]</f>
        <v/>
      </c>
      <c r="AO16" s="35" t="n"/>
      <c r="AP16" s="35" t="n">
        <v>1</v>
      </c>
      <c r="AQ16" s="35" t="n">
        <v>1</v>
      </c>
      <c r="AR16" s="35" t="inlineStr">
        <is>
          <t>บางสาขา</t>
        </is>
      </c>
      <c r="AS16" s="436" t="n">
        <v>0</v>
      </c>
      <c r="AT16" s="436" t="n"/>
      <c r="AU16" s="522" t="n">
        <v>35.06</v>
      </c>
      <c r="AV16" s="522" t="n">
        <v>35.06</v>
      </c>
      <c r="AW16" s="485" t="n">
        <v>41.69</v>
      </c>
      <c r="AX16" s="878" t="n">
        <v>42.27</v>
      </c>
      <c r="AY16" s="878" t="n">
        <v>43.32</v>
      </c>
      <c r="AZ16" s="420" t="n">
        <v>39.39</v>
      </c>
      <c r="BA16" s="420" t="n"/>
      <c r="BB16" s="461" t="n"/>
      <c r="BC16" s="879" t="n"/>
      <c r="BD16" s="461" t="n"/>
      <c r="BE16" s="463" t="n"/>
      <c r="BF16" s="463" t="n"/>
      <c r="BG16" s="446" t="n"/>
      <c r="BH16" s="446" t="n"/>
      <c r="BI16" s="463">
        <f>AVERAGE(AW16:BH16)</f>
        <v/>
      </c>
      <c r="BJ16" s="463">
        <f>BI16-AU16</f>
        <v/>
      </c>
      <c r="BK16" s="413" t="n"/>
      <c r="BL16" s="410" t="n"/>
      <c r="BM16" s="521" t="inlineStr">
        <is>
          <t>ไม่ระบุ nutrition บน aw</t>
        </is>
      </c>
      <c r="BN16" s="486" t="n"/>
      <c r="BO16" s="385" t="n"/>
      <c r="BP16" s="385" t="n"/>
      <c r="BQ16" s="385" t="n"/>
      <c r="BR16" s="385" t="n"/>
      <c r="BS16" s="385" t="n"/>
      <c r="BT16" s="441" t="n">
        <v>652356</v>
      </c>
      <c r="BU16" s="441" t="n">
        <v>662050</v>
      </c>
      <c r="BV16" s="441" t="n">
        <v>801638</v>
      </c>
      <c r="BW16" s="441" t="n">
        <v>928716</v>
      </c>
      <c r="BX16" s="441" t="n"/>
      <c r="BY16" s="441" t="n"/>
      <c r="BZ16" s="441" t="n"/>
      <c r="CA16" s="441" t="n"/>
      <c r="CB16" s="441" t="n"/>
      <c r="CC16" s="441" t="n"/>
      <c r="CD16" s="441" t="n"/>
      <c r="CE16" s="441" t="n"/>
      <c r="CF16" s="880">
        <f>SUM(BT16:CE16)</f>
        <v/>
      </c>
    </row>
    <row r="17" ht="42" customFormat="1" customHeight="1" s="324">
      <c r="A17" s="464" t="n">
        <v>14</v>
      </c>
      <c r="B17" s="559" t="inlineStr">
        <is>
          <t>ข้าวปั้น เครื่องเคียง</t>
        </is>
      </c>
      <c r="C17" s="464" t="inlineStr">
        <is>
          <t>PMA19</t>
        </is>
      </c>
      <c r="D17" s="652" t="inlineStr">
        <is>
          <t>Q1</t>
        </is>
      </c>
      <c r="E17" s="464" t="inlineStr">
        <is>
          <t>Jan</t>
        </is>
      </c>
      <c r="F17" s="572" t="n">
        <v>90138886</v>
      </c>
      <c r="G17" s="606" t="inlineStr">
        <is>
          <t>โอนิกิริซาบะย่างซีอิ๊ว 150g (big size)</t>
        </is>
      </c>
      <c r="H17" s="573" t="n">
        <v>2</v>
      </c>
      <c r="I17" s="574" t="inlineStr">
        <is>
          <t>BNG</t>
        </is>
      </c>
      <c r="J17" s="464" t="n">
        <v>0</v>
      </c>
      <c r="K17" s="484" t="n"/>
      <c r="L17" s="588" t="n">
        <v>95</v>
      </c>
      <c r="M17" s="587" t="n">
        <v>0</v>
      </c>
      <c r="N17" s="587" t="n">
        <v>1</v>
      </c>
      <c r="O17" s="587" t="n">
        <v>1</v>
      </c>
      <c r="P17" s="587" t="n"/>
      <c r="Q17" s="587" t="n"/>
      <c r="R17" s="587" t="n"/>
      <c r="S17" s="394" t="n"/>
      <c r="T17" s="394" t="n"/>
      <c r="U17" s="394" t="n">
        <v>1</v>
      </c>
      <c r="V17" s="394" t="n"/>
      <c r="W17" s="394" t="n"/>
      <c r="X17" s="394" t="n"/>
      <c r="Y17" s="394" t="n"/>
      <c r="Z17" s="394" t="n"/>
      <c r="AA17" s="394" t="n"/>
      <c r="AB17" s="394" t="n"/>
      <c r="AC17" s="360" t="n"/>
      <c r="AD17" s="360" t="n"/>
      <c r="AE17" s="360" t="n"/>
      <c r="AF17" s="360" t="n"/>
      <c r="AG17" s="361">
        <f>Table13[[#This Row],[วัน Pre-test 
run]]-Table13[[#This Row],[วันที่การตลาด
อนุมัติใบขอรหัส]]</f>
        <v/>
      </c>
      <c r="AH17" s="361" t="n"/>
      <c r="AI17" s="361">
        <f>Table13[[#This Row],[Lead 
time (วัน)]]-Table13[[#This Row],[จำนวนวัน
ที่รอ artwork (วัน)]]</f>
        <v/>
      </c>
      <c r="AJ17" s="362" t="n">
        <v>46002</v>
      </c>
      <c r="AK17" s="362" t="n">
        <v>46030</v>
      </c>
      <c r="AL17" s="384">
        <f>Table13[[#This Row],[Launch 
Date.]]-Table13[[#This Row],[วันที่การตลาดอนุมัติ
ใบขอรหัส.]]</f>
        <v/>
      </c>
      <c r="AM17" s="499" t="n">
        <v>46009</v>
      </c>
      <c r="AN17" s="384">
        <f>Table13[[#This Row],[Launch 
Date.]]-Table13[[#This Row],[วันที่ใบขอรหัสจบ(ภายใน)]]</f>
        <v/>
      </c>
      <c r="AO17" s="35" t="n">
        <v>1</v>
      </c>
      <c r="AP17" s="35" t="n"/>
      <c r="AQ17" s="35" t="n">
        <v>1</v>
      </c>
      <c r="AR17" s="35" t="inlineStr">
        <is>
          <t>ทดลองขาย</t>
        </is>
      </c>
      <c r="AS17" s="436" t="n">
        <v>0</v>
      </c>
      <c r="AT17" s="436" t="n"/>
      <c r="AU17" s="522" t="n">
        <v>26.35</v>
      </c>
      <c r="AV17" s="522" t="n">
        <v>26.35</v>
      </c>
      <c r="AW17" s="485" t="n">
        <v>22.3</v>
      </c>
      <c r="AX17" s="878" t="n">
        <v>25.18</v>
      </c>
      <c r="AY17" s="878" t="n">
        <v>30.06</v>
      </c>
      <c r="AZ17" s="420" t="n">
        <v>25.07</v>
      </c>
      <c r="BA17" s="420" t="n"/>
      <c r="BB17" s="461" t="n"/>
      <c r="BC17" s="879" t="n"/>
      <c r="BD17" s="461" t="n"/>
      <c r="BE17" s="463" t="n"/>
      <c r="BF17" s="463" t="n"/>
      <c r="BG17" s="463" t="n"/>
      <c r="BH17" s="463" t="n"/>
      <c r="BI17" s="463">
        <f>AVERAGE(AW17:BH17)</f>
        <v/>
      </c>
      <c r="BJ17" s="463">
        <f>BI17-AU17</f>
        <v/>
      </c>
      <c r="BK17" s="413" t="n"/>
      <c r="BL17" s="410" t="n"/>
      <c r="BM17" s="521" t="inlineStr">
        <is>
          <t>ไม่ระบุ nutrition บน aw</t>
        </is>
      </c>
      <c r="BN17" s="486" t="n"/>
      <c r="BO17" s="385" t="n"/>
      <c r="BP17" s="385" t="n"/>
      <c r="BQ17" s="385" t="n"/>
      <c r="BR17" s="385" t="n"/>
      <c r="BS17" s="385" t="n"/>
      <c r="BT17" s="441" t="n">
        <v>101004</v>
      </c>
      <c r="BU17" s="441" t="n">
        <v>107759</v>
      </c>
      <c r="BV17" s="626" t="n">
        <v>7343377</v>
      </c>
      <c r="BW17" s="627" t="n">
        <v>16597625</v>
      </c>
      <c r="BX17" s="441" t="n"/>
      <c r="BY17" s="441" t="n"/>
      <c r="BZ17" s="441" t="n"/>
      <c r="CA17" s="441" t="n"/>
      <c r="CB17" s="441" t="n"/>
      <c r="CC17" s="441" t="n"/>
      <c r="CD17" s="441" t="n"/>
      <c r="CE17" s="441" t="n"/>
      <c r="CF17" s="880">
        <f>SUM(BT17:CE17)</f>
        <v/>
      </c>
    </row>
    <row r="18" ht="42" customFormat="1" customHeight="1" s="324">
      <c r="A18" s="464" t="n">
        <v>15</v>
      </c>
      <c r="B18" s="559" t="inlineStr">
        <is>
          <t>ข้าวและกับข้าว</t>
        </is>
      </c>
      <c r="C18" s="464" t="inlineStr">
        <is>
          <t>PMA19</t>
        </is>
      </c>
      <c r="D18" s="652" t="inlineStr">
        <is>
          <t>Q1</t>
        </is>
      </c>
      <c r="E18" s="464" t="inlineStr">
        <is>
          <t>Jan</t>
        </is>
      </c>
      <c r="F18" s="464" t="n">
        <v>90138889</v>
      </c>
      <c r="G18" s="611" t="inlineStr">
        <is>
          <t>ข้าวผัดผักรวมมิตร+ไก่ทอด 300 กรัม</t>
        </is>
      </c>
      <c r="H18" s="584" t="n">
        <v>3</v>
      </c>
      <c r="I18" s="560" t="inlineStr">
        <is>
          <t>BNG2</t>
        </is>
      </c>
      <c r="J18" s="578" t="n">
        <v>0</v>
      </c>
      <c r="K18" s="465" t="n"/>
      <c r="L18" s="588" t="n">
        <v>100</v>
      </c>
      <c r="M18" s="589" t="n">
        <v>0</v>
      </c>
      <c r="N18" s="589" t="n">
        <v>1</v>
      </c>
      <c r="O18" s="589" t="n">
        <v>1</v>
      </c>
      <c r="P18" s="589" t="n"/>
      <c r="Q18" s="589" t="n"/>
      <c r="R18" s="589" t="n"/>
      <c r="S18" s="466" t="n"/>
      <c r="T18" s="394" t="n"/>
      <c r="U18" s="466" t="n"/>
      <c r="V18" s="466" t="n">
        <v>1</v>
      </c>
      <c r="W18" s="466" t="n"/>
      <c r="X18" s="466" t="n"/>
      <c r="Y18" s="466" t="n"/>
      <c r="Z18" s="531" t="inlineStr">
        <is>
          <t>คุณภาพข้าวไม่ผ่าน</t>
        </is>
      </c>
      <c r="AA18" s="394" t="n"/>
      <c r="AB18" s="394" t="n"/>
      <c r="AC18" s="510" t="n"/>
      <c r="AD18" s="467" t="n"/>
      <c r="AE18" s="360" t="n"/>
      <c r="AF18" s="467" t="n"/>
      <c r="AG18" s="467">
        <f>Table13[[#This Row],[วัน Pre-test 
run]]-Table13[[#This Row],[วันที่การตลาด
อนุมัติใบขอรหัส]]</f>
        <v/>
      </c>
      <c r="AH18" s="467" t="n"/>
      <c r="AI18" s="467">
        <f>Table13[[#This Row],[Lead 
time (วัน)]]-Table13[[#This Row],[จำนวนวัน
ที่รอ artwork (วัน)]]</f>
        <v/>
      </c>
      <c r="AJ18" s="468" t="n">
        <v>45992</v>
      </c>
      <c r="AK18" s="468" t="n">
        <v>46037</v>
      </c>
      <c r="AL18" s="435">
        <f>Table13[[#This Row],[Launch 
Date.]]-Table13[[#This Row],[วันที่การตลาดอนุมัติ
ใบขอรหัส.]]</f>
        <v/>
      </c>
      <c r="AM18" s="509" t="n">
        <v>46006</v>
      </c>
      <c r="AN18" s="435">
        <f>Table13[[#This Row],[Launch 
Date.]]-Table13[[#This Row],[วันที่ใบขอรหัสจบ(ภายใน)]]</f>
        <v/>
      </c>
      <c r="AO18" s="35" t="n">
        <v>1</v>
      </c>
      <c r="AP18" s="35" t="n"/>
      <c r="AQ18" s="35" t="n">
        <v>1</v>
      </c>
      <c r="AR18" s="469" t="inlineStr">
        <is>
          <t>ทดลองขาย</t>
        </is>
      </c>
      <c r="AS18" s="436" t="n">
        <v>0</v>
      </c>
      <c r="AT18" s="436" t="n"/>
      <c r="AU18" s="522" t="n">
        <v>35.37</v>
      </c>
      <c r="AV18" s="522" t="n">
        <v>35.37</v>
      </c>
      <c r="AW18" s="470" t="n">
        <v>16.71</v>
      </c>
      <c r="AX18" s="885" t="n">
        <v>25.38</v>
      </c>
      <c r="AY18" s="886" t="n">
        <v>33.41</v>
      </c>
      <c r="AZ18" s="470" t="n">
        <v>36.89</v>
      </c>
      <c r="BA18" s="470" t="n"/>
      <c r="BB18" s="470" t="n"/>
      <c r="BC18" s="887" t="n"/>
      <c r="BD18" s="470" t="n"/>
      <c r="BE18" s="470" t="n"/>
      <c r="BF18" s="470" t="n"/>
      <c r="BG18" s="470" t="n"/>
      <c r="BH18" s="470" t="n"/>
      <c r="BI18" s="470">
        <f>AVERAGE(AW18:BH18)</f>
        <v/>
      </c>
      <c r="BJ18" s="470">
        <f>BI18-AU18</f>
        <v/>
      </c>
      <c r="BK18" s="413" t="n"/>
      <c r="BL18" s="410" t="n"/>
      <c r="BM18" s="474" t="n">
        <v>1040</v>
      </c>
      <c r="BN18" s="488" t="n"/>
      <c r="BO18" s="385" t="n"/>
      <c r="BP18" s="385" t="n"/>
      <c r="BQ18" s="385" t="n"/>
      <c r="BR18" s="385" t="n"/>
      <c r="BS18" s="385" t="n"/>
      <c r="BT18" s="441" t="n">
        <v>550997</v>
      </c>
      <c r="BU18" s="441" t="n">
        <v>523285</v>
      </c>
      <c r="BV18" s="441" t="n">
        <v>281467</v>
      </c>
      <c r="BW18" s="628" t="n">
        <v>120671</v>
      </c>
      <c r="BX18" s="441" t="n"/>
      <c r="BY18" s="441" t="n"/>
      <c r="BZ18" s="441" t="n"/>
      <c r="CA18" s="441" t="n"/>
      <c r="CB18" s="441" t="n"/>
      <c r="CC18" s="441" t="n"/>
      <c r="CD18" s="441" t="n"/>
      <c r="CE18" s="441" t="n"/>
      <c r="CF18" s="880">
        <f>SUM(BT18:CE18)</f>
        <v/>
      </c>
    </row>
    <row r="19" ht="42" customFormat="1" customHeight="1" s="324">
      <c r="A19" s="464" t="n">
        <v>16</v>
      </c>
      <c r="B19" s="559" t="inlineStr">
        <is>
          <t>ข้าวและกับข้าว</t>
        </is>
      </c>
      <c r="C19" s="464" t="inlineStr">
        <is>
          <t>PMA19</t>
        </is>
      </c>
      <c r="D19" s="652" t="inlineStr">
        <is>
          <t>Q1</t>
        </is>
      </c>
      <c r="E19" s="464" t="inlineStr">
        <is>
          <t>Jan</t>
        </is>
      </c>
      <c r="F19" s="464" t="n">
        <v>90138888</v>
      </c>
      <c r="G19" s="611" t="inlineStr">
        <is>
          <t>ข้าวแกงเขียวหวานไก่+หมูปั้นก้อนทอด 300 กรัม</t>
        </is>
      </c>
      <c r="H19" s="584" t="n">
        <v>3</v>
      </c>
      <c r="I19" s="560" t="inlineStr">
        <is>
          <t>BNG2</t>
        </is>
      </c>
      <c r="J19" s="579" t="n">
        <v>0</v>
      </c>
      <c r="K19" s="465" t="n"/>
      <c r="L19" s="588" t="n">
        <v>100</v>
      </c>
      <c r="M19" s="589" t="n">
        <v>0</v>
      </c>
      <c r="N19" s="589" t="n">
        <v>1</v>
      </c>
      <c r="O19" s="589" t="n"/>
      <c r="P19" s="589" t="n"/>
      <c r="Q19" s="589" t="n">
        <v>1</v>
      </c>
      <c r="R19" s="589" t="inlineStr">
        <is>
          <t>สินค้าไม่ผ่าน</t>
        </is>
      </c>
      <c r="S19" s="466" t="n"/>
      <c r="T19" s="528" t="inlineStr">
        <is>
          <t>ไก่และหมูปั้นก้อนไม่เป็นไปตามาตรฐาน</t>
        </is>
      </c>
      <c r="U19" s="466" t="n">
        <v>1</v>
      </c>
      <c r="V19" s="466" t="n"/>
      <c r="W19" s="466" t="n"/>
      <c r="X19" s="466" t="n"/>
      <c r="Y19" s="466" t="n"/>
      <c r="Z19" s="532" t="n"/>
      <c r="AA19" s="394" t="n"/>
      <c r="AB19" s="394" t="n"/>
      <c r="AC19" s="510" t="n"/>
      <c r="AD19" s="511" t="n"/>
      <c r="AE19" s="360" t="n"/>
      <c r="AF19" s="467" t="n"/>
      <c r="AG19" s="467">
        <f>Table13[[#This Row],[วัน Pre-test 
run]]-Table13[[#This Row],[วันที่การตลาด
อนุมัติใบขอรหัส]]</f>
        <v/>
      </c>
      <c r="AH19" s="467" t="n"/>
      <c r="AI19" s="467">
        <f>Table13[[#This Row],[Lead 
time (วัน)]]-Table13[[#This Row],[จำนวนวัน
ที่รอ artwork (วัน)]]</f>
        <v/>
      </c>
      <c r="AJ19" s="468" t="n">
        <v>45987</v>
      </c>
      <c r="AK19" s="468" t="n">
        <v>46037</v>
      </c>
      <c r="AL19" s="435">
        <f>Table13[[#This Row],[Launch 
Date.]]-Table13[[#This Row],[วันที่การตลาดอนุมัติ
ใบขอรหัส.]]</f>
        <v/>
      </c>
      <c r="AM19" s="509" t="n">
        <v>46009</v>
      </c>
      <c r="AN19" s="435">
        <f>Table13[[#This Row],[Launch 
Date.]]-Table13[[#This Row],[วันที่ใบขอรหัสจบ(ภายใน)]]</f>
        <v/>
      </c>
      <c r="AO19" s="35" t="n">
        <v>1</v>
      </c>
      <c r="AP19" s="35" t="n"/>
      <c r="AQ19" s="35" t="n">
        <v>1</v>
      </c>
      <c r="AR19" s="469" t="inlineStr">
        <is>
          <t>ทดลองขาย</t>
        </is>
      </c>
      <c r="AS19" s="436" t="n">
        <v>1</v>
      </c>
      <c r="AT19" s="648" t="inlineStr">
        <is>
          <t>ค่าแรงและ PKG สูงกว่าใบขอรหัส</t>
        </is>
      </c>
      <c r="AU19" s="522" t="n">
        <v>33.2</v>
      </c>
      <c r="AV19" s="522" t="n">
        <v>33.2</v>
      </c>
      <c r="AW19" s="470" t="n">
        <v>23.69</v>
      </c>
      <c r="AX19" s="885" t="n">
        <v>27.94</v>
      </c>
      <c r="AY19" s="886" t="n">
        <v>28.15</v>
      </c>
      <c r="AZ19" s="470" t="n">
        <v>29.67</v>
      </c>
      <c r="BA19" s="470" t="n"/>
      <c r="BB19" s="470" t="n"/>
      <c r="BC19" s="887" t="n"/>
      <c r="BD19" s="470" t="n"/>
      <c r="BE19" s="470" t="n"/>
      <c r="BF19" s="470" t="n"/>
      <c r="BG19" s="470" t="n"/>
      <c r="BH19" s="470" t="n"/>
      <c r="BI19" s="470">
        <f>AVERAGE(AW19:BH19)</f>
        <v/>
      </c>
      <c r="BJ19" s="470">
        <f>BI19-AU19</f>
        <v/>
      </c>
      <c r="BK19" s="413" t="n"/>
      <c r="BL19" s="410" t="n"/>
      <c r="BM19" s="474" t="n">
        <v>1130</v>
      </c>
      <c r="BN19" s="488" t="n"/>
      <c r="BO19" s="385" t="n"/>
      <c r="BP19" s="385" t="n"/>
      <c r="BQ19" s="385" t="n"/>
      <c r="BR19" s="385" t="n"/>
      <c r="BS19" s="385" t="n"/>
      <c r="BT19" s="441" t="n">
        <v>576432</v>
      </c>
      <c r="BU19" s="441" t="n">
        <v>713559</v>
      </c>
      <c r="BV19" s="441" t="n">
        <v>554583</v>
      </c>
      <c r="BW19" s="441" t="n">
        <v>5334724</v>
      </c>
      <c r="BX19" s="441" t="n"/>
      <c r="BY19" s="441" t="n"/>
      <c r="BZ19" s="441" t="n"/>
      <c r="CA19" s="441" t="n"/>
      <c r="CB19" s="441" t="n"/>
      <c r="CC19" s="441" t="n"/>
      <c r="CD19" s="441" t="n"/>
      <c r="CE19" s="441" t="n"/>
      <c r="CF19" s="880">
        <f>SUM(BT19:CE19)</f>
        <v/>
      </c>
    </row>
    <row r="20" ht="42" customFormat="1" customHeight="1" s="324">
      <c r="A20" s="464" t="n">
        <v>17</v>
      </c>
      <c r="B20" s="559" t="inlineStr">
        <is>
          <t>ข้าวและกับข้าว</t>
        </is>
      </c>
      <c r="C20" s="464" t="inlineStr">
        <is>
          <t>PMA19</t>
        </is>
      </c>
      <c r="D20" s="652" t="inlineStr">
        <is>
          <t>Q1</t>
        </is>
      </c>
      <c r="E20" s="464" t="inlineStr">
        <is>
          <t>Jan</t>
        </is>
      </c>
      <c r="F20" s="464" t="n">
        <v>90138898</v>
      </c>
      <c r="G20" s="611" t="inlineStr">
        <is>
          <t>ข้าวหอมมันปูกะเพราอกไก่ LV 2026 270 กรัม</t>
        </is>
      </c>
      <c r="H20" s="584" t="n">
        <v>4</v>
      </c>
      <c r="I20" s="560" t="inlineStr">
        <is>
          <t>3, All</t>
        </is>
      </c>
      <c r="J20" s="578" t="n">
        <v>0</v>
      </c>
      <c r="K20" s="465" t="n"/>
      <c r="L20" s="588" t="n">
        <v>100</v>
      </c>
      <c r="M20" s="589" t="n">
        <v>0</v>
      </c>
      <c r="N20" s="589" t="n">
        <v>1</v>
      </c>
      <c r="O20" s="589" t="n"/>
      <c r="P20" s="589" t="n"/>
      <c r="Q20" s="589" t="n">
        <v>1</v>
      </c>
      <c r="R20" s="589" t="inlineStr">
        <is>
          <t>สินค้าไม่ผ่าน</t>
        </is>
      </c>
      <c r="S20" s="466" t="n"/>
      <c r="T20" s="527" t="inlineStr">
        <is>
          <t>คุณภาพทางเคมีไม่เป็นไปตาม Product spec</t>
        </is>
      </c>
      <c r="U20" s="466" t="n">
        <v>1</v>
      </c>
      <c r="V20" s="466" t="n"/>
      <c r="W20" s="466" t="n"/>
      <c r="X20" s="466" t="n"/>
      <c r="Y20" s="466" t="n"/>
      <c r="Z20" s="532" t="n"/>
      <c r="AA20" s="394" t="n"/>
      <c r="AB20" s="394" t="n"/>
      <c r="AC20" s="510" t="n"/>
      <c r="AD20" s="512" t="n"/>
      <c r="AE20" s="360" t="n"/>
      <c r="AF20" s="467" t="n"/>
      <c r="AG20" s="467">
        <f>Table13[[#This Row],[วัน Pre-test 
run]]-Table13[[#This Row],[วันที่การตลาด
อนุมัติใบขอรหัส]]</f>
        <v/>
      </c>
      <c r="AH20" s="467" t="n"/>
      <c r="AI20" s="467">
        <f>Table13[[#This Row],[Lead 
time (วัน)]]-Table13[[#This Row],[จำนวนวัน
ที่รอ artwork (วัน)]]</f>
        <v/>
      </c>
      <c r="AJ20" s="468" t="n">
        <v>45992</v>
      </c>
      <c r="AK20" s="468" t="n">
        <v>46046</v>
      </c>
      <c r="AL20" s="435">
        <f>Table13[[#This Row],[Launch 
Date.]]-Table13[[#This Row],[วันที่การตลาดอนุมัติ
ใบขอรหัส.]]</f>
        <v/>
      </c>
      <c r="AM20" s="509" t="n">
        <v>46009</v>
      </c>
      <c r="AN20" s="435">
        <f>Table13[[#This Row],[Launch 
Date.]]-Table13[[#This Row],[วันที่ใบขอรหัสจบ(ภายใน)]]</f>
        <v/>
      </c>
      <c r="AO20" s="35" t="n"/>
      <c r="AP20" s="35" t="n">
        <v>1</v>
      </c>
      <c r="AQ20" s="35" t="n">
        <v>1</v>
      </c>
      <c r="AR20" s="469" t="inlineStr">
        <is>
          <t>All Store</t>
        </is>
      </c>
      <c r="AS20" s="436" t="n">
        <v>0</v>
      </c>
      <c r="AT20" s="436" t="n"/>
      <c r="AU20" s="522" t="n">
        <v>25.39</v>
      </c>
      <c r="AV20" s="522" t="n">
        <v>25.39</v>
      </c>
      <c r="AW20" s="470" t="n">
        <v>35.95</v>
      </c>
      <c r="AX20" s="885" t="n">
        <v>37.09</v>
      </c>
      <c r="AY20" s="886" t="n">
        <v>36.85</v>
      </c>
      <c r="AZ20" s="470" t="n">
        <v>34.7</v>
      </c>
      <c r="BA20" s="470" t="n"/>
      <c r="BB20" s="470" t="n"/>
      <c r="BC20" s="887" t="n"/>
      <c r="BD20" s="470" t="n"/>
      <c r="BE20" s="470" t="n"/>
      <c r="BF20" s="470" t="n"/>
      <c r="BG20" s="470" t="n"/>
      <c r="BH20" s="470" t="n"/>
      <c r="BI20" s="470">
        <f>AVERAGE(AW20:BH20)</f>
        <v/>
      </c>
      <c r="BJ20" s="470">
        <f>BI20-AU20</f>
        <v/>
      </c>
      <c r="BK20" s="413" t="n"/>
      <c r="BL20" s="410" t="n"/>
      <c r="BM20" s="474" t="n">
        <v>690</v>
      </c>
      <c r="BN20" s="488" t="n">
        <v>1</v>
      </c>
      <c r="BO20" s="385" t="n"/>
      <c r="BP20" s="385" t="n">
        <v>1</v>
      </c>
      <c r="BQ20" s="385" t="n"/>
      <c r="BR20" s="385" t="n"/>
      <c r="BS20" s="385" t="n"/>
      <c r="BT20" s="441" t="n">
        <v>2594574</v>
      </c>
      <c r="BU20" s="441" t="n">
        <v>9161702</v>
      </c>
      <c r="BV20" s="441" t="n">
        <v>10239514</v>
      </c>
      <c r="BW20" s="441" t="n">
        <v>9493328</v>
      </c>
      <c r="BX20" s="441" t="n"/>
      <c r="BY20" s="441" t="n"/>
      <c r="BZ20" s="441" t="n"/>
      <c r="CA20" s="441" t="n"/>
      <c r="CB20" s="441" t="n"/>
      <c r="CC20" s="441" t="n"/>
      <c r="CD20" s="441" t="n"/>
      <c r="CE20" s="441" t="n"/>
      <c r="CF20" s="880">
        <f>SUM(BT20:CE20)</f>
        <v/>
      </c>
    </row>
    <row r="21" ht="42" customFormat="1" customHeight="1" s="324">
      <c r="A21" s="464" t="n">
        <v>18</v>
      </c>
      <c r="B21" s="559" t="inlineStr">
        <is>
          <t>ข้าวและกับข้าว</t>
        </is>
      </c>
      <c r="C21" s="464" t="inlineStr">
        <is>
          <t>PMA19</t>
        </is>
      </c>
      <c r="D21" s="652" t="inlineStr">
        <is>
          <t>Q1</t>
        </is>
      </c>
      <c r="E21" s="464" t="inlineStr">
        <is>
          <t>Jan</t>
        </is>
      </c>
      <c r="F21" s="464" t="n">
        <v>90138896</v>
      </c>
      <c r="G21" s="611" t="inlineStr">
        <is>
          <t>ข้าวไรซ์เบอร์รี่ผสมข้าวหอมมะลิลาบอกไก่ LV 2026 270 กรัม</t>
        </is>
      </c>
      <c r="H21" s="584" t="n">
        <v>1</v>
      </c>
      <c r="I21" s="560" t="inlineStr">
        <is>
          <t>4, All</t>
        </is>
      </c>
      <c r="J21" s="579" t="n">
        <v>0</v>
      </c>
      <c r="K21" s="465" t="n"/>
      <c r="L21" s="588" t="n">
        <v>100</v>
      </c>
      <c r="M21" s="589" t="n">
        <v>0</v>
      </c>
      <c r="N21" s="589" t="n">
        <v>1</v>
      </c>
      <c r="O21" s="589" t="n"/>
      <c r="P21" s="589" t="n"/>
      <c r="Q21" s="589" t="n">
        <v>1</v>
      </c>
      <c r="R21" s="589" t="inlineStr">
        <is>
          <t>สินค้าไม่ผ่าน</t>
        </is>
      </c>
      <c r="S21" s="466" t="n"/>
      <c r="T21" s="394" t="n"/>
      <c r="U21" s="466" t="n"/>
      <c r="V21" s="466" t="n">
        <v>1</v>
      </c>
      <c r="W21" s="466" t="n"/>
      <c r="X21" s="466" t="n"/>
      <c r="Y21" s="466" t="n"/>
      <c r="Z21" s="531" t="inlineStr">
        <is>
          <t>แก้ไข PDS ส่วนหุงข้าวให้ตรงกับ RD 7</t>
        </is>
      </c>
      <c r="AA21" s="394" t="n"/>
      <c r="AB21" s="394" t="n"/>
      <c r="AC21" s="510" t="n"/>
      <c r="AD21" s="511" t="n"/>
      <c r="AE21" s="360" t="n"/>
      <c r="AF21" s="467" t="n"/>
      <c r="AG21" s="467">
        <f>Table13[[#This Row],[วัน Pre-test 
run]]-Table13[[#This Row],[วันที่การตลาด
อนุมัติใบขอรหัส]]</f>
        <v/>
      </c>
      <c r="AH21" s="467" t="n"/>
      <c r="AI21" s="467">
        <f>Table13[[#This Row],[Lead 
time (วัน)]]-Table13[[#This Row],[จำนวนวัน
ที่รอ artwork (วัน)]]</f>
        <v/>
      </c>
      <c r="AJ21" s="468" t="n">
        <v>45992</v>
      </c>
      <c r="AK21" s="468" t="n">
        <v>46045</v>
      </c>
      <c r="AL21" s="435">
        <f>Table13[[#This Row],[Launch 
Date.]]-Table13[[#This Row],[วันที่การตลาดอนุมัติ
ใบขอรหัส.]]</f>
        <v/>
      </c>
      <c r="AM21" s="509" t="n">
        <v>46009</v>
      </c>
      <c r="AN21" s="435">
        <f>Table13[[#This Row],[Launch 
Date.]]-Table13[[#This Row],[วันที่ใบขอรหัสจบ(ภายใน)]]</f>
        <v/>
      </c>
      <c r="AO21" s="35" t="n"/>
      <c r="AP21" s="35" t="n">
        <v>1</v>
      </c>
      <c r="AQ21" s="35" t="n">
        <v>1</v>
      </c>
      <c r="AR21" s="469" t="inlineStr">
        <is>
          <t>All Store</t>
        </is>
      </c>
      <c r="AS21" s="436" t="n">
        <v>0</v>
      </c>
      <c r="AT21" s="436" t="n"/>
      <c r="AU21" s="522" t="n">
        <v>26.26</v>
      </c>
      <c r="AV21" s="522" t="n">
        <v>26.26</v>
      </c>
      <c r="AW21" s="470" t="n">
        <v>31.94</v>
      </c>
      <c r="AX21" s="885" t="n">
        <v>33.57</v>
      </c>
      <c r="AY21" s="886" t="n">
        <v>33.62</v>
      </c>
      <c r="AZ21" s="470" t="n">
        <v>31.34</v>
      </c>
      <c r="BA21" s="470" t="n"/>
      <c r="BB21" s="470" t="n"/>
      <c r="BC21" s="887" t="n"/>
      <c r="BD21" s="470" t="n"/>
      <c r="BE21" s="470" t="n"/>
      <c r="BF21" s="470" t="n"/>
      <c r="BG21" s="470" t="n"/>
      <c r="BH21" s="470" t="n"/>
      <c r="BI21" s="470">
        <f>AVERAGE(AW21:BH21)</f>
        <v/>
      </c>
      <c r="BJ21" s="470">
        <f>BI21-AU21</f>
        <v/>
      </c>
      <c r="BK21" s="413" t="n"/>
      <c r="BL21" s="410" t="n"/>
      <c r="BM21" s="474" t="n">
        <v>770</v>
      </c>
      <c r="BN21" s="488" t="n">
        <v>1</v>
      </c>
      <c r="BO21" s="385" t="n"/>
      <c r="BP21" s="385" t="n">
        <v>1</v>
      </c>
      <c r="BQ21" s="385" t="n"/>
      <c r="BR21" s="385" t="n"/>
      <c r="BS21" s="385" t="n"/>
      <c r="BT21" s="441" t="n">
        <v>2368040</v>
      </c>
      <c r="BU21" s="441" t="n">
        <v>7604327</v>
      </c>
      <c r="BV21" s="441" t="n">
        <v>8342388</v>
      </c>
      <c r="BW21" s="441" t="n">
        <v>7360410</v>
      </c>
      <c r="BX21" s="441" t="n"/>
      <c r="BY21" s="441" t="n"/>
      <c r="BZ21" s="441" t="n"/>
      <c r="CA21" s="441" t="n"/>
      <c r="CB21" s="441" t="n"/>
      <c r="CC21" s="441" t="n"/>
      <c r="CD21" s="441" t="n"/>
      <c r="CE21" s="441" t="n"/>
      <c r="CF21" s="880">
        <f>SUM(BT21:CE21)</f>
        <v/>
      </c>
    </row>
    <row r="22" ht="42" customFormat="1" customHeight="1" s="324">
      <c r="A22" s="464" t="n">
        <v>19</v>
      </c>
      <c r="B22" s="559" t="inlineStr">
        <is>
          <t>ข้าวและกับข้าว</t>
        </is>
      </c>
      <c r="C22" s="464" t="inlineStr">
        <is>
          <t>PMA19</t>
        </is>
      </c>
      <c r="D22" s="652" t="inlineStr">
        <is>
          <t>Q1</t>
        </is>
      </c>
      <c r="E22" s="464" t="inlineStr">
        <is>
          <t>Jan</t>
        </is>
      </c>
      <c r="F22" s="464" t="n">
        <v>90138899</v>
      </c>
      <c r="G22" s="611" t="inlineStr">
        <is>
          <t>ข้าวหอมมันปูอกไก่ย่างจิ้มแจ่ว LV 2026</t>
        </is>
      </c>
      <c r="H22" s="584" t="n">
        <v>2</v>
      </c>
      <c r="I22" s="560" t="inlineStr">
        <is>
          <t>3, All</t>
        </is>
      </c>
      <c r="J22" s="578" t="n">
        <v>0</v>
      </c>
      <c r="K22" s="465" t="n"/>
      <c r="L22" s="588" t="n">
        <v>100</v>
      </c>
      <c r="M22" s="589" t="n">
        <v>0</v>
      </c>
      <c r="N22" s="589" t="n">
        <v>1</v>
      </c>
      <c r="O22" s="589" t="n">
        <v>1</v>
      </c>
      <c r="P22" s="589" t="n"/>
      <c r="Q22" s="589" t="n"/>
      <c r="R22" s="589" t="n"/>
      <c r="S22" s="466" t="n"/>
      <c r="T22" s="394" t="n"/>
      <c r="U22" s="466" t="n">
        <v>1</v>
      </c>
      <c r="V22" s="466" t="n"/>
      <c r="W22" s="466" t="n"/>
      <c r="X22" s="466" t="n"/>
      <c r="Y22" s="466" t="n"/>
      <c r="Z22" s="532" t="n"/>
      <c r="AA22" s="394" t="n"/>
      <c r="AB22" s="394" t="n"/>
      <c r="AC22" s="510" t="n"/>
      <c r="AD22" s="511" t="n"/>
      <c r="AE22" s="360" t="n"/>
      <c r="AF22" s="467" t="n"/>
      <c r="AG22" s="467">
        <f>Table13[[#This Row],[วัน Pre-test 
run]]-Table13[[#This Row],[วันที่การตลาด
อนุมัติใบขอรหัส]]</f>
        <v/>
      </c>
      <c r="AH22" s="467" t="n"/>
      <c r="AI22" s="467">
        <f>Table13[[#This Row],[Lead 
time (วัน)]]-Table13[[#This Row],[จำนวนวัน
ที่รอ artwork (วัน)]]</f>
        <v/>
      </c>
      <c r="AJ22" s="468" t="n">
        <v>45992</v>
      </c>
      <c r="AK22" s="468" t="n">
        <v>46043</v>
      </c>
      <c r="AL22" s="435">
        <f>Table13[[#This Row],[Launch 
Date.]]-Table13[[#This Row],[วันที่การตลาดอนุมัติ
ใบขอรหัส.]]</f>
        <v/>
      </c>
      <c r="AM22" s="509" t="n">
        <v>46027</v>
      </c>
      <c r="AN22" s="435">
        <f>Table13[[#This Row],[Launch 
Date.]]-Table13[[#This Row],[วันที่ใบขอรหัสจบ(ภายใน)]]</f>
        <v/>
      </c>
      <c r="AO22" s="35" t="n"/>
      <c r="AP22" s="35" t="n">
        <v>1</v>
      </c>
      <c r="AQ22" s="35" t="n">
        <v>1</v>
      </c>
      <c r="AR22" s="469" t="inlineStr">
        <is>
          <t>All Store</t>
        </is>
      </c>
      <c r="AS22" s="436" t="n">
        <v>0</v>
      </c>
      <c r="AT22" s="436" t="n"/>
      <c r="AU22" s="522" t="n">
        <v>30.16</v>
      </c>
      <c r="AV22" s="522" t="n">
        <v>30.16</v>
      </c>
      <c r="AW22" s="470" t="n">
        <v>37.54</v>
      </c>
      <c r="AX22" s="885" t="n">
        <v>38.23</v>
      </c>
      <c r="AY22" s="886" t="n">
        <v>37.78</v>
      </c>
      <c r="AZ22" s="470" t="n">
        <v>37.28</v>
      </c>
      <c r="BA22" s="470" t="n"/>
      <c r="BB22" s="470" t="n"/>
      <c r="BC22" s="887" t="n"/>
      <c r="BD22" s="470" t="n"/>
      <c r="BE22" s="470" t="n"/>
      <c r="BF22" s="470" t="n"/>
      <c r="BG22" s="470" t="n"/>
      <c r="BH22" s="470" t="n"/>
      <c r="BI22" s="470">
        <f>AVERAGE(AW22:BH22)</f>
        <v/>
      </c>
      <c r="BJ22" s="470">
        <f>BI22-AU22</f>
        <v/>
      </c>
      <c r="BK22" s="413" t="n"/>
      <c r="BL22" s="410" t="n"/>
      <c r="BM22" s="474" t="n">
        <v>970</v>
      </c>
      <c r="BN22" s="488" t="n">
        <v>1</v>
      </c>
      <c r="BO22" s="385" t="n"/>
      <c r="BP22" s="385" t="n">
        <v>1</v>
      </c>
      <c r="BQ22" s="385" t="n"/>
      <c r="BR22" s="385" t="n"/>
      <c r="BS22" s="385" t="n"/>
      <c r="BT22" s="441" t="n">
        <v>5558327</v>
      </c>
      <c r="BU22" s="441" t="n">
        <v>11992220</v>
      </c>
      <c r="BV22" s="441" t="n">
        <v>12905062</v>
      </c>
      <c r="BW22" s="441" t="n">
        <v>12133213</v>
      </c>
      <c r="BX22" s="441" t="n"/>
      <c r="BY22" s="441" t="n"/>
      <c r="BZ22" s="441" t="n"/>
      <c r="CA22" s="441" t="n"/>
      <c r="CB22" s="441" t="n"/>
      <c r="CC22" s="441" t="n"/>
      <c r="CD22" s="441" t="n"/>
      <c r="CE22" s="441" t="n"/>
      <c r="CF22" s="880">
        <f>SUM(BT22:CE22)</f>
        <v/>
      </c>
    </row>
    <row r="23" ht="42" customFormat="1" customHeight="1" s="324">
      <c r="A23" s="464" t="n">
        <v>20</v>
      </c>
      <c r="B23" s="559" t="inlineStr">
        <is>
          <t>กับข้าว</t>
        </is>
      </c>
      <c r="C23" s="464" t="inlineStr">
        <is>
          <t>PMA19</t>
        </is>
      </c>
      <c r="D23" s="652" t="inlineStr">
        <is>
          <t>Q1</t>
        </is>
      </c>
      <c r="E23" s="464" t="inlineStr">
        <is>
          <t>Jan</t>
        </is>
      </c>
      <c r="F23" s="464" t="n">
        <v>90138897</v>
      </c>
      <c r="G23" s="611" t="inlineStr">
        <is>
          <t>ต้มยำกุ้งน้ำข้น LV 2026 310 กรัม</t>
        </is>
      </c>
      <c r="H23" s="584" t="n">
        <v>3</v>
      </c>
      <c r="I23" s="560" t="inlineStr">
        <is>
          <t>4, All</t>
        </is>
      </c>
      <c r="J23" s="585" t="n">
        <v>0</v>
      </c>
      <c r="K23" s="465" t="n"/>
      <c r="L23" s="588" t="n">
        <v>100</v>
      </c>
      <c r="M23" s="589" t="n">
        <v>0</v>
      </c>
      <c r="N23" s="589" t="n">
        <v>1</v>
      </c>
      <c r="O23" s="589" t="n">
        <v>1</v>
      </c>
      <c r="P23" s="589" t="n"/>
      <c r="Q23" s="589" t="n"/>
      <c r="R23" s="589" t="n"/>
      <c r="S23" s="466" t="n"/>
      <c r="T23" s="394" t="n"/>
      <c r="U23" s="466" t="n">
        <v>1</v>
      </c>
      <c r="V23" s="466" t="n"/>
      <c r="W23" s="466" t="n"/>
      <c r="X23" s="466" t="n"/>
      <c r="Y23" s="466" t="n"/>
      <c r="Z23" s="532" t="n"/>
      <c r="AA23" s="394" t="n"/>
      <c r="AB23" s="394" t="n"/>
      <c r="AC23" s="510" t="n"/>
      <c r="AD23" s="511" t="n"/>
      <c r="AE23" s="467" t="n"/>
      <c r="AF23" s="467" t="n"/>
      <c r="AG23" s="467">
        <f>Table13[[#This Row],[วัน Pre-test 
run]]-Table13[[#This Row],[วันที่การตลาด
อนุมัติใบขอรหัส]]</f>
        <v/>
      </c>
      <c r="AH23" s="467" t="n"/>
      <c r="AI23" s="467">
        <f>Table13[[#This Row],[Lead 
time (วัน)]]-Table13[[#This Row],[จำนวนวัน
ที่รอ artwork (วัน)]]</f>
        <v/>
      </c>
      <c r="AJ23" s="468" t="n">
        <v>45967</v>
      </c>
      <c r="AK23" s="468" t="n">
        <v>46037</v>
      </c>
      <c r="AL23" s="435">
        <f>Table13[[#This Row],[Launch 
Date.]]-Table13[[#This Row],[วันที่การตลาดอนุมัติ
ใบขอรหัส.]]</f>
        <v/>
      </c>
      <c r="AM23" s="888" t="n">
        <v>46014</v>
      </c>
      <c r="AN23" s="435">
        <f>Table13[[#This Row],[Launch 
Date.]]-Table13[[#This Row],[วันที่ใบขอรหัสจบ(ภายใน)]]</f>
        <v/>
      </c>
      <c r="AO23" s="35" t="n"/>
      <c r="AP23" s="35" t="n">
        <v>1</v>
      </c>
      <c r="AQ23" s="35" t="n">
        <v>1</v>
      </c>
      <c r="AR23" s="469" t="inlineStr">
        <is>
          <t>All Store</t>
        </is>
      </c>
      <c r="AS23" s="436" t="n">
        <v>0</v>
      </c>
      <c r="AT23" s="436" t="n"/>
      <c r="AU23" s="522" t="n">
        <v>20.52</v>
      </c>
      <c r="AV23" s="522" t="n">
        <v>20.52</v>
      </c>
      <c r="AW23" s="470" t="n">
        <v>19.67</v>
      </c>
      <c r="AX23" s="885" t="n">
        <v>21.48</v>
      </c>
      <c r="AY23" s="886" t="n">
        <v>22.56</v>
      </c>
      <c r="AZ23" s="470" t="n">
        <v>20.54</v>
      </c>
      <c r="BA23" s="470" t="n"/>
      <c r="BB23" s="470" t="n"/>
      <c r="BC23" s="887" t="n"/>
      <c r="BD23" s="470" t="n"/>
      <c r="BE23" s="470" t="n"/>
      <c r="BF23" s="470" t="n"/>
      <c r="BG23" s="469" t="n"/>
      <c r="BH23" s="469" t="n"/>
      <c r="BI23" s="470">
        <f>AVERAGE(AW23:BH23)</f>
        <v/>
      </c>
      <c r="BJ23" s="470">
        <f>BI23-AU23</f>
        <v/>
      </c>
      <c r="BK23" s="413" t="n"/>
      <c r="BL23" s="410" t="n"/>
      <c r="BM23" s="521" t="inlineStr">
        <is>
          <t>ไม่ระบุ nutrition บน aw</t>
        </is>
      </c>
      <c r="BN23" s="488" t="n"/>
      <c r="BO23" s="385" t="n"/>
      <c r="BP23" s="385" t="n"/>
      <c r="BQ23" s="385" t="n"/>
      <c r="BR23" s="385" t="n"/>
      <c r="BS23" s="385" t="n"/>
      <c r="BT23" s="441" t="n">
        <v>5304783</v>
      </c>
      <c r="BU23" s="441" t="n">
        <v>7992490</v>
      </c>
      <c r="BV23" s="441" t="n">
        <v>8679522</v>
      </c>
      <c r="BW23" s="441" t="n">
        <v>8270337</v>
      </c>
      <c r="BX23" s="441" t="n"/>
      <c r="BY23" s="441" t="n"/>
      <c r="BZ23" s="441" t="n"/>
      <c r="CA23" s="441" t="n"/>
      <c r="CB23" s="441" t="n"/>
      <c r="CC23" s="441" t="n"/>
      <c r="CD23" s="441" t="n"/>
      <c r="CE23" s="441" t="n"/>
      <c r="CF23" s="880">
        <f>SUM(BT23:CE23)</f>
        <v/>
      </c>
    </row>
    <row r="24" ht="42" customFormat="1" customHeight="1" s="324">
      <c r="A24" s="464" t="n">
        <v>21</v>
      </c>
      <c r="B24" s="559" t="inlineStr">
        <is>
          <t>ติ่มซำ (นึ่ง)</t>
        </is>
      </c>
      <c r="C24" s="464" t="inlineStr">
        <is>
          <t>Export</t>
        </is>
      </c>
      <c r="D24" s="652" t="inlineStr">
        <is>
          <t>Q1</t>
        </is>
      </c>
      <c r="E24" s="464" t="inlineStr">
        <is>
          <t>Jan</t>
        </is>
      </c>
      <c r="F24" s="464" t="n">
        <v>90140510</v>
      </c>
      <c r="G24" s="611" t="inlineStr">
        <is>
          <t>FZN BBQ Chicken Chick Buns</t>
        </is>
      </c>
      <c r="H24" s="584" t="n">
        <v>1</v>
      </c>
      <c r="I24" s="560" t="n">
        <v>2</v>
      </c>
      <c r="J24" s="578" t="n">
        <v>0</v>
      </c>
      <c r="K24" s="465" t="n"/>
      <c r="L24" s="588" t="n">
        <v>93.33</v>
      </c>
      <c r="M24" s="589" t="n">
        <v>0.36</v>
      </c>
      <c r="N24" s="589" t="n">
        <v>1</v>
      </c>
      <c r="O24" s="589" t="n">
        <v>1</v>
      </c>
      <c r="P24" s="589" t="n"/>
      <c r="Q24" s="589" t="n"/>
      <c r="R24" s="589" t="n"/>
      <c r="S24" s="466" t="n"/>
      <c r="T24" s="525" t="n"/>
      <c r="U24" s="466" t="n">
        <v>1</v>
      </c>
      <c r="V24" s="466" t="n"/>
      <c r="W24" s="466" t="n"/>
      <c r="X24" s="466" t="n"/>
      <c r="Y24" s="466" t="n"/>
      <c r="Z24" s="532" t="n"/>
      <c r="AA24" s="394" t="n"/>
      <c r="AB24" s="394" t="n"/>
      <c r="AC24" s="510" t="n">
        <v>46035</v>
      </c>
      <c r="AD24" s="510" t="n">
        <v>45985</v>
      </c>
      <c r="AE24" s="510" t="n">
        <v>45992</v>
      </c>
      <c r="AF24" s="510" t="n">
        <v>46009</v>
      </c>
      <c r="AG24" s="467">
        <f>Table13[[#This Row],[วัน Pre-test 
run]]-Table13[[#This Row],[วันที่การตลาด
อนุมัติใบขอรหัส]]</f>
        <v/>
      </c>
      <c r="AH24" s="467" t="n"/>
      <c r="AI24" s="467">
        <f>Table13[[#This Row],[Lead 
time (วัน)]]-Table13[[#This Row],[จำนวนวัน
ที่รอ artwork (วัน)]]</f>
        <v/>
      </c>
      <c r="AJ24" s="468" t="n"/>
      <c r="AK24" s="468" t="n"/>
      <c r="AL24" s="435" t="n"/>
      <c r="AM24" s="888" t="n"/>
      <c r="AN24" s="435" t="n"/>
      <c r="AO24" s="35" t="n">
        <v>1</v>
      </c>
      <c r="AP24" s="35" t="n"/>
      <c r="AQ24" s="35" t="n">
        <v>1</v>
      </c>
      <c r="AR24" s="469" t="inlineStr">
        <is>
          <t>ต่างประเทศ</t>
        </is>
      </c>
      <c r="AS24" s="669" t="n">
        <v>1</v>
      </c>
      <c r="AT24" s="672" t="inlineStr">
        <is>
          <t>ราคาขายต่ำกว่าใบขอรหัส และราคา PKG LB สูงกว่าใบขอรหัส</t>
        </is>
      </c>
      <c r="AU24" s="522" t="n">
        <v>44.96</v>
      </c>
      <c r="AV24" s="522" t="n">
        <v>44.96</v>
      </c>
      <c r="AW24" s="622" t="n">
        <v>39.18</v>
      </c>
      <c r="AX24" s="885" t="n"/>
      <c r="AY24" s="886" t="n"/>
      <c r="AZ24" s="470" t="n"/>
      <c r="BA24" s="470" t="n"/>
      <c r="BB24" s="470" t="n"/>
      <c r="BC24" s="887" t="n"/>
      <c r="BD24" s="470" t="n"/>
      <c r="BE24" s="470" t="n"/>
      <c r="BF24" s="470" t="n"/>
      <c r="BG24" s="469" t="n"/>
      <c r="BH24" s="469" t="n"/>
      <c r="BI24" s="470">
        <f>AVERAGE(AW24:BH24)</f>
        <v/>
      </c>
      <c r="BJ24" s="470">
        <f>BI24-AU24</f>
        <v/>
      </c>
      <c r="BK24" s="413" t="n"/>
      <c r="BL24" s="410" t="n"/>
      <c r="BM24" s="521" t="inlineStr">
        <is>
          <t>ไม่ระบุ nutrition บน aw</t>
        </is>
      </c>
      <c r="BN24" s="488" t="n"/>
      <c r="BO24" s="385" t="n"/>
      <c r="BP24" s="385" t="n"/>
      <c r="BQ24" s="385" t="n"/>
      <c r="BR24" s="385" t="n"/>
      <c r="BS24" s="385" t="n"/>
      <c r="BT24" s="441" t="n">
        <v>711486</v>
      </c>
      <c r="BU24" s="441" t="n">
        <v>0</v>
      </c>
      <c r="BV24" s="441" t="n">
        <v>0</v>
      </c>
      <c r="BW24" s="441" t="n">
        <v>0</v>
      </c>
      <c r="BX24" s="441" t="n"/>
      <c r="BY24" s="441" t="n"/>
      <c r="BZ24" s="441" t="n"/>
      <c r="CA24" s="441" t="n"/>
      <c r="CB24" s="441" t="n"/>
      <c r="CC24" s="441" t="n"/>
      <c r="CD24" s="441" t="n"/>
      <c r="CE24" s="441" t="n"/>
      <c r="CF24" s="880">
        <f>SUM(BT24:CE24)</f>
        <v/>
      </c>
    </row>
    <row r="25" ht="42" customFormat="1" customHeight="1" s="324">
      <c r="A25" s="464" t="n">
        <v>22</v>
      </c>
      <c r="B25" s="559" t="inlineStr">
        <is>
          <t>ติ่มซำ (นึ่ง)</t>
        </is>
      </c>
      <c r="C25" s="464" t="inlineStr">
        <is>
          <t>Export</t>
        </is>
      </c>
      <c r="D25" s="652" t="inlineStr">
        <is>
          <t>Q1</t>
        </is>
      </c>
      <c r="E25" s="464" t="inlineStr">
        <is>
          <t>Jan</t>
        </is>
      </c>
      <c r="F25" s="464" t="n">
        <v>90140509</v>
      </c>
      <c r="G25" s="611" t="inlineStr">
        <is>
          <t>FZN Sweet &amp; Sour Hot Cross Buns</t>
        </is>
      </c>
      <c r="H25" s="584" t="n">
        <v>1</v>
      </c>
      <c r="I25" s="560" t="n">
        <v>2</v>
      </c>
      <c r="J25" s="585" t="n">
        <v>0</v>
      </c>
      <c r="K25" s="465" t="n"/>
      <c r="L25" s="588" t="n">
        <v>95.23999999999999</v>
      </c>
      <c r="M25" s="589" t="n">
        <v>0.71</v>
      </c>
      <c r="N25" s="589" t="n">
        <v>1</v>
      </c>
      <c r="O25" s="589" t="n">
        <v>1</v>
      </c>
      <c r="P25" s="589" t="n"/>
      <c r="Q25" s="589" t="n"/>
      <c r="R25" s="589" t="n"/>
      <c r="S25" s="466" t="n"/>
      <c r="T25" s="525" t="n"/>
      <c r="U25" s="466" t="n">
        <v>1</v>
      </c>
      <c r="V25" s="466" t="n"/>
      <c r="W25" s="466" t="n"/>
      <c r="X25" s="466" t="n"/>
      <c r="Y25" s="466" t="n"/>
      <c r="Z25" s="532" t="n"/>
      <c r="AA25" s="394" t="n"/>
      <c r="AB25" s="394" t="n"/>
      <c r="AC25" s="510" t="n">
        <v>46035</v>
      </c>
      <c r="AD25" s="510" t="n">
        <v>45985</v>
      </c>
      <c r="AE25" s="510" t="n">
        <v>45992</v>
      </c>
      <c r="AF25" s="510" t="n">
        <v>46008</v>
      </c>
      <c r="AG25" s="467">
        <f>Table13[[#This Row],[วัน Pre-test 
run]]-Table13[[#This Row],[วันที่การตลาด
อนุมัติใบขอรหัส]]</f>
        <v/>
      </c>
      <c r="AH25" s="467" t="n"/>
      <c r="AI25" s="467">
        <f>Table13[[#This Row],[Lead 
time (วัน)]]-Table13[[#This Row],[จำนวนวัน
ที่รอ artwork (วัน)]]</f>
        <v/>
      </c>
      <c r="AJ25" s="468" t="n"/>
      <c r="AK25" s="468" t="n"/>
      <c r="AL25" s="435" t="n"/>
      <c r="AM25" s="888" t="n"/>
      <c r="AN25" s="435" t="n"/>
      <c r="AO25" s="35" t="n">
        <v>1</v>
      </c>
      <c r="AP25" s="35" t="n"/>
      <c r="AQ25" s="35" t="n">
        <v>1</v>
      </c>
      <c r="AR25" s="469" t="inlineStr">
        <is>
          <t>ต่างประเทศ</t>
        </is>
      </c>
      <c r="AS25" s="669" t="n">
        <v>1</v>
      </c>
      <c r="AT25" s="672" t="inlineStr">
        <is>
          <t>ราคาขายต่ำกว่าใบขอรหัส และราคา PKG LB สูงกว่าใบขอรหัส</t>
        </is>
      </c>
      <c r="AU25" s="522" t="n">
        <v>51.89</v>
      </c>
      <c r="AV25" s="522" t="n">
        <v>51.89</v>
      </c>
      <c r="AW25" s="622" t="n">
        <v>42.7</v>
      </c>
      <c r="AX25" s="885" t="n"/>
      <c r="AY25" s="886" t="n"/>
      <c r="AZ25" s="470" t="n"/>
      <c r="BA25" s="470" t="n"/>
      <c r="BB25" s="470" t="n"/>
      <c r="BC25" s="887" t="n"/>
      <c r="BD25" s="470" t="n"/>
      <c r="BE25" s="470" t="n"/>
      <c r="BF25" s="470" t="n"/>
      <c r="BG25" s="469" t="n"/>
      <c r="BH25" s="469" t="n"/>
      <c r="BI25" s="470">
        <f>AVERAGE(AW25:BH25)</f>
        <v/>
      </c>
      <c r="BJ25" s="470">
        <f>BI25-AU25</f>
        <v/>
      </c>
      <c r="BK25" s="413" t="n"/>
      <c r="BL25" s="410" t="n"/>
      <c r="BM25" s="521" t="inlineStr">
        <is>
          <t>ไม่ระบุ nutrition บน aw</t>
        </is>
      </c>
      <c r="BN25" s="488" t="n"/>
      <c r="BO25" s="385" t="n"/>
      <c r="BP25" s="385" t="n"/>
      <c r="BQ25" s="385" t="n"/>
      <c r="BR25" s="385" t="n"/>
      <c r="BS25" s="385" t="n"/>
      <c r="BT25" s="441" t="n">
        <v>577590</v>
      </c>
      <c r="BU25" s="441" t="n">
        <v>0</v>
      </c>
      <c r="BV25" s="441" t="n">
        <v>0</v>
      </c>
      <c r="BW25" s="441" t="n">
        <v>0</v>
      </c>
      <c r="BX25" s="441" t="n"/>
      <c r="BY25" s="441" t="n"/>
      <c r="BZ25" s="441" t="n"/>
      <c r="CA25" s="441" t="n"/>
      <c r="CB25" s="441" t="n"/>
      <c r="CC25" s="441" t="n"/>
      <c r="CD25" s="441" t="n"/>
      <c r="CE25" s="441" t="n"/>
      <c r="CF25" s="880">
        <f>SUM(BT25:CE25)</f>
        <v/>
      </c>
    </row>
    <row r="26" ht="42" customFormat="1" customHeight="1" s="324">
      <c r="A26" s="464" t="n">
        <v>23</v>
      </c>
      <c r="B26" s="559" t="inlineStr">
        <is>
          <t>ข้าวและกับข้าว</t>
        </is>
      </c>
      <c r="C26" s="464" t="inlineStr">
        <is>
          <t>PMA19</t>
        </is>
      </c>
      <c r="D26" s="652" t="inlineStr">
        <is>
          <t>Q1</t>
        </is>
      </c>
      <c r="E26" s="464" t="inlineStr">
        <is>
          <t>Feb</t>
        </is>
      </c>
      <c r="F26" s="464" t="n">
        <v>90138904</v>
      </c>
      <c r="G26" s="611" t="inlineStr">
        <is>
          <t xml:space="preserve">ข้าวกะเพราหมู LV 2026	</t>
        </is>
      </c>
      <c r="H26" s="584" t="n">
        <v>3</v>
      </c>
      <c r="I26" s="560" t="inlineStr">
        <is>
          <t>BNG2, All</t>
        </is>
      </c>
      <c r="J26" s="578" t="n">
        <v>0</v>
      </c>
      <c r="K26" s="465" t="n"/>
      <c r="L26" s="588" t="n">
        <v>100</v>
      </c>
      <c r="M26" s="589" t="n">
        <v>0</v>
      </c>
      <c r="N26" s="589" t="n">
        <v>1</v>
      </c>
      <c r="O26" s="589" t="n"/>
      <c r="P26" s="589" t="n"/>
      <c r="Q26" s="589" t="n">
        <v>1</v>
      </c>
      <c r="R26" s="589" t="inlineStr">
        <is>
          <t>สินค้าไม่ผ่าน</t>
        </is>
      </c>
      <c r="S26" s="466" t="n"/>
      <c r="T26" s="527" t="inlineStr">
        <is>
          <t>กะเพราหมูเป็นชิ้นแหลก</t>
        </is>
      </c>
      <c r="U26" s="466" t="n">
        <v>1</v>
      </c>
      <c r="V26" s="466" t="n"/>
      <c r="W26" s="466" t="n"/>
      <c r="X26" s="466" t="n"/>
      <c r="Y26" s="466" t="n"/>
      <c r="Z26" s="532" t="n"/>
      <c r="AA26" s="394" t="n"/>
      <c r="AB26" s="394" t="n"/>
      <c r="AC26" s="510" t="n"/>
      <c r="AD26" s="467" t="n"/>
      <c r="AE26" s="467" t="n"/>
      <c r="AF26" s="467" t="n"/>
      <c r="AG26" s="467">
        <f>Table13[[#This Row],[วัน Pre-test 
run]]-Table13[[#This Row],[วันที่การตลาด
อนุมัติใบขอรหัส]]</f>
        <v/>
      </c>
      <c r="AH26" s="467" t="n"/>
      <c r="AI26" s="467">
        <f>Table13[[#This Row],[Lead 
time (วัน)]]-Table13[[#This Row],[จำนวนวัน
ที่รอ artwork (วัน)]]</f>
        <v/>
      </c>
      <c r="AJ26" s="468" t="n">
        <v>46009</v>
      </c>
      <c r="AK26" s="468" t="n">
        <v>46072</v>
      </c>
      <c r="AL26" s="435">
        <f>Table13[[#This Row],[Launch 
Date.]]-Table13[[#This Row],[วันที่การตลาดอนุมัติ
ใบขอรหัส.]]</f>
        <v/>
      </c>
      <c r="AM26" s="888" t="n">
        <v>46040</v>
      </c>
      <c r="AN26" s="435">
        <f>Table13[[#This Row],[Launch 
Date.]]-Table13[[#This Row],[วันที่ใบขอรหัสจบ(ภายใน)]]</f>
        <v/>
      </c>
      <c r="AO26" s="35" t="n"/>
      <c r="AP26" s="35" t="n">
        <v>1</v>
      </c>
      <c r="AQ26" s="35" t="n">
        <v>1</v>
      </c>
      <c r="AR26" s="469" t="inlineStr">
        <is>
          <t>All Store</t>
        </is>
      </c>
      <c r="AS26" s="436" t="n">
        <v>0</v>
      </c>
      <c r="AT26" s="436" t="n"/>
      <c r="AU26" s="522" t="n">
        <v>35.88</v>
      </c>
      <c r="AV26" s="522" t="n">
        <v>35.88</v>
      </c>
      <c r="AW26" s="470" t="n"/>
      <c r="AX26" s="885" t="n">
        <v>46.2</v>
      </c>
      <c r="AY26" s="886" t="n">
        <v>46.33</v>
      </c>
      <c r="AZ26" s="470" t="n">
        <v>44.56</v>
      </c>
      <c r="BA26" s="470" t="n"/>
      <c r="BB26" s="470" t="n"/>
      <c r="BC26" s="887" t="n"/>
      <c r="BD26" s="470" t="n"/>
      <c r="BE26" s="470" t="n"/>
      <c r="BF26" s="470" t="n"/>
      <c r="BG26" s="469" t="n"/>
      <c r="BH26" s="469" t="n"/>
      <c r="BI26" s="470">
        <f>AVERAGE(AW26:BH26)</f>
        <v/>
      </c>
      <c r="BJ26" s="470">
        <f>BI26-AU26</f>
        <v/>
      </c>
      <c r="BK26" s="413" t="n"/>
      <c r="BL26" s="410" t="n"/>
      <c r="BM26" s="474" t="n">
        <v>710</v>
      </c>
      <c r="BN26" s="488" t="n"/>
      <c r="BO26" s="385" t="n"/>
      <c r="BP26" s="385" t="n"/>
      <c r="BQ26" s="385" t="n"/>
      <c r="BR26" s="385" t="n"/>
      <c r="BS26" s="385" t="n"/>
      <c r="BT26" s="441" t="n">
        <v>0</v>
      </c>
      <c r="BU26" s="441" t="n">
        <v>13641147</v>
      </c>
      <c r="BV26" s="441" t="n">
        <v>37190709</v>
      </c>
      <c r="BW26" s="441" t="n">
        <v>40016069</v>
      </c>
      <c r="BX26" s="441" t="n"/>
      <c r="BY26" s="441" t="n"/>
      <c r="BZ26" s="441" t="n"/>
      <c r="CA26" s="441" t="n"/>
      <c r="CB26" s="441" t="n"/>
      <c r="CC26" s="441" t="n"/>
      <c r="CD26" s="441" t="n"/>
      <c r="CE26" s="441" t="n"/>
      <c r="CF26" s="880">
        <f>SUM(BT26:CE26)</f>
        <v/>
      </c>
    </row>
    <row r="27" ht="42" customFormat="1" customHeight="1" s="324">
      <c r="A27" s="464" t="n">
        <v>24</v>
      </c>
      <c r="B27" s="559" t="inlineStr">
        <is>
          <t>กับข้าว</t>
        </is>
      </c>
      <c r="C27" s="464" t="inlineStr">
        <is>
          <t>PMA19</t>
        </is>
      </c>
      <c r="D27" s="652" t="inlineStr">
        <is>
          <t>Q1</t>
        </is>
      </c>
      <c r="E27" s="464" t="inlineStr">
        <is>
          <t>Feb</t>
        </is>
      </c>
      <c r="F27" s="464" t="n">
        <v>90138901</v>
      </c>
      <c r="G27" s="611" t="inlineStr">
        <is>
          <t>ไข่เจียวปู 270 กรัม</t>
        </is>
      </c>
      <c r="H27" s="584" t="n">
        <v>4</v>
      </c>
      <c r="I27" s="560" t="inlineStr">
        <is>
          <t>Pilot plant, 1</t>
        </is>
      </c>
      <c r="J27" s="579" t="n">
        <v>0</v>
      </c>
      <c r="K27" s="465" t="n"/>
      <c r="L27" s="588" t="n">
        <v>100</v>
      </c>
      <c r="M27" s="589" t="n">
        <v>0</v>
      </c>
      <c r="N27" s="589" t="n">
        <v>1</v>
      </c>
      <c r="O27" s="589" t="n"/>
      <c r="P27" s="589" t="n"/>
      <c r="Q27" s="589" t="n">
        <v>1</v>
      </c>
      <c r="R27" s="589" t="inlineStr">
        <is>
          <t>กระบวนการไม่ผ่าน (ผลิต)</t>
        </is>
      </c>
      <c r="S27" s="466" t="n"/>
      <c r="T27" s="527" t="inlineStr">
        <is>
          <t>สถานที่การผลิตยังไม่พร้อม และ flow การผลิตไม่ต่อเนื่อง</t>
        </is>
      </c>
      <c r="U27" s="466" t="n">
        <v>1</v>
      </c>
      <c r="V27" s="466" t="n"/>
      <c r="W27" s="466" t="n"/>
      <c r="X27" s="466" t="n"/>
      <c r="Y27" s="466" t="n"/>
      <c r="Z27" s="532" t="n"/>
      <c r="AA27" s="394" t="n"/>
      <c r="AB27" s="394" t="n"/>
      <c r="AC27" s="510" t="n"/>
      <c r="AD27" s="467" t="n"/>
      <c r="AE27" s="467" t="n"/>
      <c r="AF27" s="467" t="n"/>
      <c r="AG27" s="467">
        <f>Table13[[#This Row],[วัน Pre-test 
run]]-Table13[[#This Row],[วันที่การตลาด
อนุมัติใบขอรหัส]]</f>
        <v/>
      </c>
      <c r="AH27" s="467" t="n"/>
      <c r="AI27" s="467">
        <f>Table13[[#This Row],[Lead 
time (วัน)]]-Table13[[#This Row],[จำนวนวัน
ที่รอ artwork (วัน)]]</f>
        <v/>
      </c>
      <c r="AJ27" s="468" t="n">
        <v>46041</v>
      </c>
      <c r="AK27" s="468" t="n">
        <v>46080</v>
      </c>
      <c r="AL27" s="435">
        <f>Table13[[#This Row],[Launch 
Date.]]-Table13[[#This Row],[วันที่การตลาดอนุมัติ
ใบขอรหัส.]]</f>
        <v/>
      </c>
      <c r="AM27" s="888" t="n">
        <v>46062</v>
      </c>
      <c r="AN27" s="435">
        <f>Table13[[#This Row],[Launch 
Date.]]-Table13[[#This Row],[วันที่ใบขอรหัสจบ(ภายใน)]]</f>
        <v/>
      </c>
      <c r="AO27" s="35" t="n">
        <v>1</v>
      </c>
      <c r="AP27" s="35" t="n"/>
      <c r="AQ27" s="35" t="n">
        <v>1</v>
      </c>
      <c r="AR27" s="469" t="inlineStr">
        <is>
          <t>ทดลองขาย</t>
        </is>
      </c>
      <c r="AS27" s="436" t="n">
        <v>0</v>
      </c>
      <c r="AT27" s="436" t="n"/>
      <c r="AU27" s="522" t="n">
        <v>30.23</v>
      </c>
      <c r="AV27" s="522" t="n">
        <v>30.23</v>
      </c>
      <c r="AW27" s="470" t="n"/>
      <c r="AX27" s="885" t="n">
        <v>19.8</v>
      </c>
      <c r="AY27" s="886" t="n">
        <v>30.86</v>
      </c>
      <c r="AZ27" s="647" t="n"/>
      <c r="BA27" s="470" t="n"/>
      <c r="BB27" s="470" t="n"/>
      <c r="BC27" s="887" t="n"/>
      <c r="BD27" s="470" t="n"/>
      <c r="BE27" s="470" t="n"/>
      <c r="BF27" s="470" t="n"/>
      <c r="BG27" s="469" t="n"/>
      <c r="BH27" s="469" t="n"/>
      <c r="BI27" s="470">
        <f>AVERAGE(AW27:BH27)</f>
        <v/>
      </c>
      <c r="BJ27" s="470">
        <f>BI27-AU27</f>
        <v/>
      </c>
      <c r="BK27" s="413" t="n"/>
      <c r="BL27" s="410" t="n"/>
      <c r="BM27" s="521" t="inlineStr">
        <is>
          <t>ไม่ระบุ nutrition บน aw</t>
        </is>
      </c>
      <c r="BN27" s="488" t="n"/>
      <c r="BO27" s="385" t="n"/>
      <c r="BP27" s="385" t="n"/>
      <c r="BQ27" s="385" t="n"/>
      <c r="BR27" s="385" t="n"/>
      <c r="BS27" s="385" t="n"/>
      <c r="BT27" s="441" t="n">
        <v>0</v>
      </c>
      <c r="BU27" s="441" t="n">
        <v>183183</v>
      </c>
      <c r="BV27" s="441" t="n">
        <v>223369</v>
      </c>
      <c r="BW27" s="441" t="n">
        <v>204</v>
      </c>
      <c r="BX27" s="441" t="n"/>
      <c r="BY27" s="441" t="n"/>
      <c r="BZ27" s="441" t="n"/>
      <c r="CA27" s="441" t="n"/>
      <c r="CB27" s="441" t="n"/>
      <c r="CC27" s="441" t="n"/>
      <c r="CD27" s="441" t="n"/>
      <c r="CE27" s="441" t="n"/>
      <c r="CF27" s="880">
        <f>SUM(BT27:CE27)</f>
        <v/>
      </c>
    </row>
    <row r="28" ht="42" customFormat="1" customHeight="1" s="324">
      <c r="A28" s="464" t="n">
        <v>25</v>
      </c>
      <c r="B28" s="559" t="inlineStr">
        <is>
          <t>ข้าวและกับข้าว</t>
        </is>
      </c>
      <c r="C28" s="464" t="inlineStr">
        <is>
          <t>PMA19</t>
        </is>
      </c>
      <c r="D28" s="652" t="inlineStr">
        <is>
          <t>Q1</t>
        </is>
      </c>
      <c r="E28" s="464" t="inlineStr">
        <is>
          <t>Mar</t>
        </is>
      </c>
      <c r="F28" s="464" t="n">
        <v>90138911</v>
      </c>
      <c r="G28" s="611" t="inlineStr">
        <is>
          <t>ข้าวหมกไก่ 280 กรัม</t>
        </is>
      </c>
      <c r="H28" s="584" t="n">
        <v>2</v>
      </c>
      <c r="I28" s="560" t="inlineStr">
        <is>
          <t>1, All BU</t>
        </is>
      </c>
      <c r="J28" s="578" t="n">
        <v>0</v>
      </c>
      <c r="K28" s="465" t="n"/>
      <c r="L28" s="588" t="n">
        <v>100</v>
      </c>
      <c r="M28" s="589" t="n">
        <v>0</v>
      </c>
      <c r="N28" s="589" t="n">
        <v>1</v>
      </c>
      <c r="O28" s="589" t="n">
        <v>1</v>
      </c>
      <c r="P28" s="589" t="n"/>
      <c r="Q28" s="589" t="n"/>
      <c r="R28" s="589" t="n"/>
      <c r="S28" s="466" t="n"/>
      <c r="T28" s="525" t="n"/>
      <c r="U28" s="466" t="n"/>
      <c r="V28" s="466" t="n"/>
      <c r="W28" s="466" t="n">
        <v>1</v>
      </c>
      <c r="X28" s="589" t="inlineStr">
        <is>
          <t>สินค้าไม่ผ่าน</t>
        </is>
      </c>
      <c r="Y28" s="589" t="inlineStr">
        <is>
          <t>Man</t>
        </is>
      </c>
      <c r="Z28" s="531" t="inlineStr">
        <is>
          <t>น้ำจิ้มหวานไม่เปรี้ยว เกิดจากขั้นตอนผสมก่อนบรรจุุไม่เป็นไปตามมาตรฐาน</t>
        </is>
      </c>
      <c r="AA28" s="394" t="inlineStr">
        <is>
          <t>ไม่เข้าซ้ำ</t>
        </is>
      </c>
      <c r="AB28" s="394" t="n"/>
      <c r="AC28" s="510" t="n"/>
      <c r="AD28" s="561" t="n"/>
      <c r="AE28" s="562" t="n"/>
      <c r="AF28" s="563" t="n"/>
      <c r="AG28" s="563">
        <f>Table13[[#This Row],[วัน Pre-test 
run]]-Table13[[#This Row],[วันที่การตลาด
อนุมัติใบขอรหัส]]</f>
        <v/>
      </c>
      <c r="AH28" s="563" t="n"/>
      <c r="AI28" s="563">
        <f>Table13[[#This Row],[Lead 
time (วัน)]]-Table13[[#This Row],[จำนวนวัน
ที่รอ artwork (วัน)]]</f>
        <v/>
      </c>
      <c r="AJ28" s="468" t="n">
        <v>46056</v>
      </c>
      <c r="AK28" s="468" t="n">
        <v>46104</v>
      </c>
      <c r="AL28" s="564">
        <f>Table13[[#This Row],[Launch 
Date.]]-Table13[[#This Row],[วันที่การตลาดอนุมัติ
ใบขอรหัส.]]</f>
        <v/>
      </c>
      <c r="AM28" s="888" t="n">
        <v>46077</v>
      </c>
      <c r="AN28" s="564">
        <f>Table13[[#This Row],[Launch 
Date.]]-Table13[[#This Row],[วันที่ใบขอรหัสจบ(ภายใน)]]</f>
        <v/>
      </c>
      <c r="AO28" s="35" t="n"/>
      <c r="AP28" s="35" t="n">
        <v>1</v>
      </c>
      <c r="AQ28" s="35" t="n">
        <v>1</v>
      </c>
      <c r="AR28" s="469" t="inlineStr">
        <is>
          <t>All Store</t>
        </is>
      </c>
      <c r="AS28" s="436" t="n">
        <v>0</v>
      </c>
      <c r="AT28" s="436" t="n"/>
      <c r="AU28" s="436" t="n">
        <v>24.27</v>
      </c>
      <c r="AV28" s="436" t="n">
        <v>24.27</v>
      </c>
      <c r="AW28" s="470" t="n"/>
      <c r="AX28" s="885" t="n"/>
      <c r="AY28" s="886" t="n">
        <v>24.08</v>
      </c>
      <c r="AZ28" s="622" t="n">
        <v>22.91</v>
      </c>
      <c r="BA28" s="470" t="n"/>
      <c r="BB28" s="470" t="n"/>
      <c r="BC28" s="887" t="n"/>
      <c r="BD28" s="470" t="n"/>
      <c r="BE28" s="470" t="n"/>
      <c r="BF28" s="470" t="n"/>
      <c r="BG28" s="469" t="n"/>
      <c r="BH28" s="469" t="n"/>
      <c r="BI28" s="470">
        <f>AVERAGE(AW28:BH28)</f>
        <v/>
      </c>
      <c r="BJ28" s="470">
        <f>BI28-AU28</f>
        <v/>
      </c>
      <c r="BK28" s="413" t="n"/>
      <c r="BL28" s="410" t="n"/>
      <c r="BM28" s="474" t="n">
        <v>1620</v>
      </c>
      <c r="BN28" s="488" t="n"/>
      <c r="BO28" s="385" t="n"/>
      <c r="BP28" s="385" t="n"/>
      <c r="BQ28" s="385" t="n"/>
      <c r="BR28" s="385" t="n"/>
      <c r="BS28" s="385" t="n"/>
      <c r="BT28" s="565" t="n">
        <v>0</v>
      </c>
      <c r="BU28" s="565" t="n">
        <v>0</v>
      </c>
      <c r="BV28" s="565" t="n">
        <v>3797235</v>
      </c>
      <c r="BW28" s="565" t="n">
        <v>12947612</v>
      </c>
      <c r="BX28" s="565" t="n"/>
      <c r="BY28" s="565" t="n"/>
      <c r="BZ28" s="565" t="n"/>
      <c r="CA28" s="565" t="n"/>
      <c r="CB28" s="565" t="n"/>
      <c r="CC28" s="565" t="n"/>
      <c r="CD28" s="565" t="n"/>
      <c r="CE28" s="565" t="n"/>
      <c r="CF28" s="880">
        <f>SUM(BT28:CE28)</f>
        <v/>
      </c>
    </row>
    <row r="29" ht="42" customFormat="1" customHeight="1" s="324">
      <c r="A29" s="464" t="n">
        <v>26</v>
      </c>
      <c r="B29" s="559" t="inlineStr">
        <is>
          <t>ข้าวและกับข้าว</t>
        </is>
      </c>
      <c r="C29" s="464" t="inlineStr">
        <is>
          <t>PMA19</t>
        </is>
      </c>
      <c r="D29" s="652" t="inlineStr">
        <is>
          <t>Q1</t>
        </is>
      </c>
      <c r="E29" s="464" t="inlineStr">
        <is>
          <t>Mar</t>
        </is>
      </c>
      <c r="F29" s="464" t="n">
        <v>90138906</v>
      </c>
      <c r="G29" s="611" t="inlineStr">
        <is>
          <t>แกงส้มชะอมกุ้ง 310 กรัม</t>
        </is>
      </c>
      <c r="H29" s="584" t="n">
        <v>1</v>
      </c>
      <c r="I29" s="560" t="inlineStr">
        <is>
          <t>4, All BU</t>
        </is>
      </c>
      <c r="J29" s="579" t="n">
        <v>0</v>
      </c>
      <c r="K29" s="465" t="n"/>
      <c r="L29" s="588" t="n">
        <v>100</v>
      </c>
      <c r="M29" s="589" t="n">
        <v>0</v>
      </c>
      <c r="N29" s="589" t="n">
        <v>1</v>
      </c>
      <c r="O29" s="589" t="n">
        <v>1</v>
      </c>
      <c r="P29" s="589" t="n"/>
      <c r="Q29" s="589" t="n"/>
      <c r="R29" s="589" t="n"/>
      <c r="S29" s="466" t="n"/>
      <c r="T29" s="525" t="n"/>
      <c r="U29" s="466" t="n">
        <v>1</v>
      </c>
      <c r="V29" s="466" t="n"/>
      <c r="W29" s="466" t="n"/>
      <c r="X29" s="466" t="n"/>
      <c r="Y29" s="466" t="n"/>
      <c r="Z29" s="532" t="n"/>
      <c r="AA29" s="394" t="n"/>
      <c r="AB29" s="394" t="n"/>
      <c r="AC29" s="510" t="n"/>
      <c r="AD29" s="561" t="n"/>
      <c r="AE29" s="562" t="n"/>
      <c r="AF29" s="563" t="n"/>
      <c r="AG29" s="563">
        <f>Table13[[#This Row],[วัน Pre-test 
run]]-Table13[[#This Row],[วันที่การตลาด
อนุมัติใบขอรหัส]]</f>
        <v/>
      </c>
      <c r="AH29" s="563" t="n"/>
      <c r="AI29" s="563">
        <f>Table13[[#This Row],[Lead 
time (วัน)]]-Table13[[#This Row],[จำนวนวัน
ที่รอ artwork (วัน)]]</f>
        <v/>
      </c>
      <c r="AJ29" s="468" t="n">
        <v>46062</v>
      </c>
      <c r="AK29" s="468" t="n">
        <v>46093</v>
      </c>
      <c r="AL29" s="564">
        <f>Table13[[#This Row],[Launch 
Date.]]-Table13[[#This Row],[วันที่การตลาดอนุมัติ
ใบขอรหัส.]]</f>
        <v/>
      </c>
      <c r="AM29" s="888" t="n">
        <v>46072</v>
      </c>
      <c r="AN29" s="564">
        <f>Table13[[#This Row],[Launch 
Date.]]-Table13[[#This Row],[วันที่ใบขอรหัสจบ(ภายใน)]]</f>
        <v/>
      </c>
      <c r="AO29" s="35" t="n"/>
      <c r="AP29" s="35" t="n">
        <v>1</v>
      </c>
      <c r="AQ29" s="35" t="n">
        <v>1</v>
      </c>
      <c r="AR29" s="469" t="inlineStr">
        <is>
          <t>All Store</t>
        </is>
      </c>
      <c r="AS29" s="436" t="n">
        <v>1</v>
      </c>
      <c r="AT29" s="648" t="inlineStr">
        <is>
          <t>ค่า RM สูงกว่าใบขอรหัส</t>
        </is>
      </c>
      <c r="AU29" s="436" t="n">
        <v>18.73</v>
      </c>
      <c r="AV29" s="436" t="n">
        <v>18.73</v>
      </c>
      <c r="AW29" s="470" t="n"/>
      <c r="AX29" s="885" t="n"/>
      <c r="AY29" s="886" t="n">
        <v>14.42</v>
      </c>
      <c r="AZ29" s="470" t="n">
        <v>13.55</v>
      </c>
      <c r="BA29" s="470" t="n"/>
      <c r="BB29" s="470" t="n"/>
      <c r="BC29" s="887" t="n"/>
      <c r="BD29" s="470" t="n"/>
      <c r="BE29" s="470" t="n"/>
      <c r="BF29" s="470" t="n"/>
      <c r="BG29" s="469" t="n"/>
      <c r="BH29" s="469" t="n"/>
      <c r="BI29" s="470">
        <f>AVERAGE(AW29:BH29)</f>
        <v/>
      </c>
      <c r="BJ29" s="470">
        <f>BI29-AU29</f>
        <v/>
      </c>
      <c r="BK29" s="413" t="n"/>
      <c r="BL29" s="410" t="n"/>
      <c r="BM29" s="521" t="inlineStr">
        <is>
          <t>ไม่ระบุ nutrition บน aw</t>
        </is>
      </c>
      <c r="BN29" s="488" t="n"/>
      <c r="BO29" s="385" t="n"/>
      <c r="BP29" s="385" t="n"/>
      <c r="BQ29" s="385" t="n"/>
      <c r="BR29" s="385" t="n"/>
      <c r="BS29" s="385" t="n"/>
      <c r="BT29" s="565" t="n">
        <v>0</v>
      </c>
      <c r="BU29" s="565" t="n">
        <v>0</v>
      </c>
      <c r="BV29" s="565" t="n">
        <v>7689311</v>
      </c>
      <c r="BW29" s="565" t="n">
        <v>12157268</v>
      </c>
      <c r="BX29" s="565" t="n"/>
      <c r="BY29" s="565" t="n"/>
      <c r="BZ29" s="565" t="n"/>
      <c r="CA29" s="565" t="n"/>
      <c r="CB29" s="565" t="n"/>
      <c r="CC29" s="565" t="n"/>
      <c r="CD29" s="565" t="n"/>
      <c r="CE29" s="565" t="n"/>
      <c r="CF29" s="880">
        <f>SUM(BT29:CE29)</f>
        <v/>
      </c>
    </row>
    <row r="30" ht="42" customFormat="1" customHeight="1" s="324">
      <c r="A30" s="464" t="n">
        <v>27</v>
      </c>
      <c r="B30" s="559" t="inlineStr">
        <is>
          <t>เส้น (ข้าวไทย)</t>
        </is>
      </c>
      <c r="C30" s="464" t="inlineStr">
        <is>
          <t>PMA19</t>
        </is>
      </c>
      <c r="D30" s="652" t="inlineStr">
        <is>
          <t>Q1</t>
        </is>
      </c>
      <c r="E30" s="464" t="inlineStr">
        <is>
          <t>Feb</t>
        </is>
      </c>
      <c r="F30" s="464" t="n">
        <v>90138903</v>
      </c>
      <c r="G30" s="611" t="inlineStr">
        <is>
          <t>ก๋วยเตี๋ยวคั่วไก่ 250 กรัม</t>
        </is>
      </c>
      <c r="H30" s="584" t="n">
        <v>5</v>
      </c>
      <c r="I30" s="560" t="inlineStr">
        <is>
          <t>4, All</t>
        </is>
      </c>
      <c r="J30" s="578" t="n">
        <v>0</v>
      </c>
      <c r="K30" s="465" t="n"/>
      <c r="L30" s="588" t="n">
        <v>100</v>
      </c>
      <c r="M30" s="589" t="n">
        <v>0</v>
      </c>
      <c r="N30" s="589" t="n">
        <v>1</v>
      </c>
      <c r="O30" s="589" t="n"/>
      <c r="P30" s="589" t="n"/>
      <c r="Q30" s="589" t="n">
        <v>1</v>
      </c>
      <c r="R30" s="589" t="inlineStr">
        <is>
          <t>สินค้าไม่ผ่าน</t>
        </is>
      </c>
      <c r="S30" s="466" t="n"/>
      <c r="T30" s="527" t="inlineStr">
        <is>
          <t>ชิ้นไก่แหลกเนื่องจากกระบวนการผัดไม่เหมาะสม</t>
        </is>
      </c>
      <c r="U30" s="466" t="n">
        <v>1</v>
      </c>
      <c r="V30" s="466" t="n"/>
      <c r="W30" s="466" t="n"/>
      <c r="X30" s="466" t="n"/>
      <c r="Y30" s="466" t="n"/>
      <c r="Z30" s="532" t="n"/>
      <c r="AA30" s="394" t="n"/>
      <c r="AB30" s="394" t="n"/>
      <c r="AC30" s="510" t="n"/>
      <c r="AD30" s="467" t="n"/>
      <c r="AE30" s="467" t="n"/>
      <c r="AF30" s="467" t="n"/>
      <c r="AG30" s="467">
        <f>Table13[[#This Row],[วัน Pre-test 
run]]-Table13[[#This Row],[วันที่การตลาด
อนุมัติใบขอรหัส]]</f>
        <v/>
      </c>
      <c r="AH30" s="467" t="n"/>
      <c r="AI30" s="467">
        <f>Table13[[#This Row],[Lead 
time (วัน)]]-Table13[[#This Row],[จำนวนวัน
ที่รอ artwork (วัน)]]</f>
        <v/>
      </c>
      <c r="AJ30" s="468" t="n">
        <v>46037</v>
      </c>
      <c r="AK30" s="468" t="n">
        <v>46072</v>
      </c>
      <c r="AL30" s="435">
        <f>Table13[[#This Row],[Launch 
Date.]]-Table13[[#This Row],[วันที่การตลาดอนุมัติ
ใบขอรหัส.]]</f>
        <v/>
      </c>
      <c r="AM30" s="888" t="n">
        <v>46051</v>
      </c>
      <c r="AN30" s="435">
        <f>Table13[[#This Row],[Launch 
Date.]]-Table13[[#This Row],[วันที่ใบขอรหัสจบ(ภายใน)]]</f>
        <v/>
      </c>
      <c r="AO30" s="35" t="n">
        <v>1</v>
      </c>
      <c r="AP30" s="35" t="n"/>
      <c r="AQ30" s="35" t="n">
        <v>1</v>
      </c>
      <c r="AR30" s="469" t="inlineStr">
        <is>
          <t>All Store</t>
        </is>
      </c>
      <c r="AS30" s="522" t="n">
        <v>0</v>
      </c>
      <c r="AT30" s="436" t="n"/>
      <c r="AU30" s="522" t="n">
        <v>30.02</v>
      </c>
      <c r="AV30" s="522" t="n">
        <v>30.02</v>
      </c>
      <c r="AW30" s="470" t="n"/>
      <c r="AX30" s="885" t="n">
        <v>33.13</v>
      </c>
      <c r="AY30" s="886" t="n">
        <v>33.1</v>
      </c>
      <c r="AZ30" s="470" t="n">
        <v>33.79</v>
      </c>
      <c r="BA30" s="470" t="n"/>
      <c r="BB30" s="470" t="n"/>
      <c r="BC30" s="887" t="n"/>
      <c r="BD30" s="470" t="n"/>
      <c r="BE30" s="470" t="n"/>
      <c r="BF30" s="470" t="n"/>
      <c r="BG30" s="469" t="n"/>
      <c r="BH30" s="469" t="n"/>
      <c r="BI30" s="470">
        <f>AVERAGE(AW30:BH30)</f>
        <v/>
      </c>
      <c r="BJ30" s="470">
        <f>BI30-AU30</f>
        <v/>
      </c>
      <c r="BK30" s="413" t="n"/>
      <c r="BL30" s="410" t="n"/>
      <c r="BM30" s="521" t="n">
        <v>1490</v>
      </c>
      <c r="BN30" s="488" t="n"/>
      <c r="BO30" s="385" t="n"/>
      <c r="BP30" s="385" t="n"/>
      <c r="BQ30" s="385" t="n"/>
      <c r="BR30" s="385" t="n"/>
      <c r="BS30" s="385" t="n"/>
      <c r="BT30" s="441" t="n">
        <v>0</v>
      </c>
      <c r="BU30" s="441" t="n">
        <v>5514646</v>
      </c>
      <c r="BV30" s="441" t="n">
        <v>12418231</v>
      </c>
      <c r="BW30" s="441" t="n">
        <v>11629431</v>
      </c>
      <c r="BX30" s="441" t="n"/>
      <c r="BY30" s="441" t="n"/>
      <c r="BZ30" s="441" t="n"/>
      <c r="CA30" s="441" t="n"/>
      <c r="CB30" s="441" t="n"/>
      <c r="CC30" s="441" t="n"/>
      <c r="CD30" s="441" t="n"/>
      <c r="CE30" s="441" t="n"/>
      <c r="CF30" s="880">
        <f>SUM(BT30:CE30)</f>
        <v/>
      </c>
    </row>
    <row r="31" ht="42" customFormat="1" customHeight="1" s="324">
      <c r="A31" s="464" t="n">
        <v>28</v>
      </c>
      <c r="B31" s="559" t="inlineStr">
        <is>
          <t>เส้น (ข้าวไทย)</t>
        </is>
      </c>
      <c r="C31" s="464" t="inlineStr">
        <is>
          <t>PMA20</t>
        </is>
      </c>
      <c r="D31" s="652" t="inlineStr">
        <is>
          <t>Q1</t>
        </is>
      </c>
      <c r="E31" s="464" t="inlineStr">
        <is>
          <t>Feb</t>
        </is>
      </c>
      <c r="F31" s="464" t="n">
        <v>90139663</v>
      </c>
      <c r="G31" s="611" t="inlineStr">
        <is>
          <t>ขนมจีนแกงเขียวหวานไก่ 290 กรัม</t>
        </is>
      </c>
      <c r="H31" s="584" t="n">
        <v>4</v>
      </c>
      <c r="I31" s="560" t="n">
        <v>1</v>
      </c>
      <c r="J31" s="579" t="n">
        <v>0</v>
      </c>
      <c r="K31" s="465" t="n"/>
      <c r="L31" s="588" t="n">
        <v>100</v>
      </c>
      <c r="M31" s="589" t="n">
        <v>0</v>
      </c>
      <c r="N31" s="589" t="n">
        <v>1</v>
      </c>
      <c r="O31" s="589" t="n"/>
      <c r="P31" s="589" t="n"/>
      <c r="Q31" s="589" t="n"/>
      <c r="R31" s="589" t="n"/>
      <c r="S31" s="466" t="n"/>
      <c r="T31" s="525" t="n"/>
      <c r="U31" s="466" t="n">
        <v>0</v>
      </c>
      <c r="V31" s="466" t="n"/>
      <c r="W31" s="466" t="n"/>
      <c r="X31" s="466" t="n"/>
      <c r="Y31" s="466" t="n"/>
      <c r="Z31" s="532" t="n"/>
      <c r="AA31" s="394" t="n"/>
      <c r="AB31" s="394" t="n"/>
      <c r="AC31" s="510" t="n"/>
      <c r="AD31" s="467" t="n"/>
      <c r="AE31" s="467" t="n"/>
      <c r="AF31" s="467" t="n"/>
      <c r="AG31" s="467">
        <f>Table13[[#This Row],[วัน Pre-test 
run]]-Table13[[#This Row],[วันที่การตลาด
อนุมัติใบขอรหัส]]</f>
        <v/>
      </c>
      <c r="AH31" s="467" t="n"/>
      <c r="AI31" s="467">
        <f>Table13[[#This Row],[Lead 
time (วัน)]]-Table13[[#This Row],[จำนวนวัน
ที่รอ artwork (วัน)]]</f>
        <v/>
      </c>
      <c r="AJ31" s="468" t="n">
        <v>46027</v>
      </c>
      <c r="AK31" s="468" t="n">
        <v>46079</v>
      </c>
      <c r="AL31" s="435">
        <f>Table13[[#This Row],[Launch 
Date.]]-Table13[[#This Row],[วันที่การตลาดอนุมัติ
ใบขอรหัส.]]</f>
        <v/>
      </c>
      <c r="AM31" s="888" t="n">
        <v>46043</v>
      </c>
      <c r="AN31" s="435">
        <f>Table13[[#This Row],[Launch 
Date.]]-Table13[[#This Row],[วันที่ใบขอรหัสจบ(ภายใน)]]</f>
        <v/>
      </c>
      <c r="AO31" s="35" t="n">
        <v>1</v>
      </c>
      <c r="AP31" s="35" t="n"/>
      <c r="AQ31" s="35" t="n">
        <v>1</v>
      </c>
      <c r="AR31" s="469" t="inlineStr">
        <is>
          <t>All Store</t>
        </is>
      </c>
      <c r="AS31" s="522" t="n">
        <v>0</v>
      </c>
      <c r="AT31" s="436" t="n"/>
      <c r="AU31" s="522" t="n">
        <v>31.49</v>
      </c>
      <c r="AV31" s="522" t="n">
        <v>31.49</v>
      </c>
      <c r="AW31" s="470" t="n"/>
      <c r="AX31" s="885" t="n">
        <v>31.76</v>
      </c>
      <c r="AY31" s="886" t="n">
        <v>29.86</v>
      </c>
      <c r="AZ31" s="470" t="n">
        <v>29.4</v>
      </c>
      <c r="BA31" s="470" t="n"/>
      <c r="BB31" s="470" t="n"/>
      <c r="BC31" s="887" t="n"/>
      <c r="BD31" s="470" t="n"/>
      <c r="BE31" s="470" t="n"/>
      <c r="BF31" s="470" t="n"/>
      <c r="BG31" s="469" t="n"/>
      <c r="BH31" s="469" t="n"/>
      <c r="BI31" s="470">
        <f>AVERAGE(AW31:BH31)</f>
        <v/>
      </c>
      <c r="BJ31" s="470">
        <f>BI31-AU31</f>
        <v/>
      </c>
      <c r="BK31" s="413" t="n"/>
      <c r="BL31" s="410" t="n"/>
      <c r="BM31" s="474" t="n">
        <v>910</v>
      </c>
      <c r="BN31" s="488" t="n">
        <v>1</v>
      </c>
      <c r="BO31" s="385" t="n"/>
      <c r="BP31" s="385" t="n"/>
      <c r="BQ31" s="385" t="n"/>
      <c r="BR31" s="385" t="n"/>
      <c r="BS31" s="385" t="n"/>
      <c r="BT31" s="441" t="n">
        <v>0</v>
      </c>
      <c r="BU31" s="441" t="n">
        <v>4354930</v>
      </c>
      <c r="BV31" s="441" t="n">
        <v>2367257</v>
      </c>
      <c r="BW31" s="441" t="n">
        <v>2624483</v>
      </c>
      <c r="BX31" s="441" t="n"/>
      <c r="BY31" s="441" t="n"/>
      <c r="BZ31" s="441" t="n"/>
      <c r="CA31" s="441" t="n"/>
      <c r="CB31" s="441" t="n"/>
      <c r="CC31" s="441" t="n"/>
      <c r="CD31" s="441" t="n"/>
      <c r="CE31" s="441" t="n"/>
      <c r="CF31" s="880">
        <f>SUM(BT31:CE31)</f>
        <v/>
      </c>
    </row>
    <row r="32" ht="42" customFormat="1" customHeight="1" s="324">
      <c r="A32" s="464" t="n">
        <v>29</v>
      </c>
      <c r="B32" s="559" t="inlineStr">
        <is>
          <t>กับข้าว</t>
        </is>
      </c>
      <c r="C32" s="464" t="inlineStr">
        <is>
          <t>PMA06</t>
        </is>
      </c>
      <c r="D32" s="652" t="inlineStr">
        <is>
          <t>Q1</t>
        </is>
      </c>
      <c r="E32" s="464" t="inlineStr">
        <is>
          <t>Feb</t>
        </is>
      </c>
      <c r="F32" s="464" t="n">
        <v>90139689</v>
      </c>
      <c r="G32" s="611" t="inlineStr">
        <is>
          <t>ไก่สับคั่วพริกเกลือพร้อมกระเทียมเจียว62g</t>
        </is>
      </c>
      <c r="H32" s="584" t="n">
        <v>3</v>
      </c>
      <c r="I32" s="560" t="n">
        <v>1</v>
      </c>
      <c r="J32" s="578" t="n">
        <v>0</v>
      </c>
      <c r="K32" s="465" t="n"/>
      <c r="L32" s="588" t="n">
        <v>100</v>
      </c>
      <c r="M32" s="589" t="n">
        <v>0</v>
      </c>
      <c r="N32" s="589" t="n">
        <v>1</v>
      </c>
      <c r="O32" s="589" t="n">
        <v>1</v>
      </c>
      <c r="P32" s="589" t="n"/>
      <c r="Q32" s="589" t="n"/>
      <c r="R32" s="589" t="n"/>
      <c r="S32" s="466" t="n"/>
      <c r="T32" s="525" t="n"/>
      <c r="U32" s="466" t="n">
        <v>1</v>
      </c>
      <c r="V32" s="466" t="n"/>
      <c r="W32" s="466" t="n"/>
      <c r="X32" s="466" t="n"/>
      <c r="Y32" s="466" t="n"/>
      <c r="Z32" s="532" t="n"/>
      <c r="AA32" s="394" t="n"/>
      <c r="AB32" s="394" t="n"/>
      <c r="AC32" s="510" t="n"/>
      <c r="AD32" s="467" t="n"/>
      <c r="AE32" s="467" t="n"/>
      <c r="AF32" s="467" t="n"/>
      <c r="AG32" s="467">
        <f>Table13[[#This Row],[วัน Pre-test 
run]]-Table13[[#This Row],[วันที่การตลาด
อนุมัติใบขอรหัส]]</f>
        <v/>
      </c>
      <c r="AH32" s="467" t="n"/>
      <c r="AI32" s="467">
        <f>Table13[[#This Row],[Lead 
time (วัน)]]-Table13[[#This Row],[จำนวนวัน
ที่รอ artwork (วัน)]]</f>
        <v/>
      </c>
      <c r="AJ32" s="468" t="n">
        <v>46001</v>
      </c>
      <c r="AK32" s="468" t="n">
        <v>46077</v>
      </c>
      <c r="AL32" s="435">
        <f>Table13[[#This Row],[Launch 
Date.]]-Table13[[#This Row],[วันที่การตลาดอนุมัติ
ใบขอรหัส.]]</f>
        <v/>
      </c>
      <c r="AM32" s="888" t="n">
        <v>46024</v>
      </c>
      <c r="AN32" s="435">
        <f>Table13[[#This Row],[Launch 
Date.]]-Table13[[#This Row],[วันที่ใบขอรหัสจบ(ภายใน)]]</f>
        <v/>
      </c>
      <c r="AO32" s="35" t="n">
        <v>1</v>
      </c>
      <c r="AP32" s="35" t="n"/>
      <c r="AQ32" s="35" t="n">
        <v>1</v>
      </c>
      <c r="AR32" s="469" t="inlineStr">
        <is>
          <t>บางสาขา</t>
        </is>
      </c>
      <c r="AS32" s="436" t="n">
        <v>0</v>
      </c>
      <c r="AT32" s="436" t="n"/>
      <c r="AU32" s="522" t="n">
        <v>37.02</v>
      </c>
      <c r="AV32" s="522" t="n">
        <v>37.02</v>
      </c>
      <c r="AW32" s="470" t="n"/>
      <c r="AX32" s="885" t="n">
        <v>42.37</v>
      </c>
      <c r="AY32" s="886" t="n">
        <v>41.52</v>
      </c>
      <c r="AZ32" s="470" t="n">
        <v>41.49</v>
      </c>
      <c r="BA32" s="470" t="n"/>
      <c r="BB32" s="470" t="n"/>
      <c r="BC32" s="887" t="n"/>
      <c r="BD32" s="470" t="n"/>
      <c r="BE32" s="470" t="n"/>
      <c r="BF32" s="470" t="n"/>
      <c r="BG32" s="469" t="n"/>
      <c r="BH32" s="469" t="n"/>
      <c r="BI32" s="470">
        <f>AVERAGE(AW32:BH32)</f>
        <v/>
      </c>
      <c r="BJ32" s="470">
        <f>BI32-AU32</f>
        <v/>
      </c>
      <c r="BK32" s="413" t="n"/>
      <c r="BL32" s="410" t="n"/>
      <c r="BM32" s="521" t="inlineStr">
        <is>
          <t>ไม่ระบุ nutrition บน aw</t>
        </is>
      </c>
      <c r="BN32" s="488" t="n"/>
      <c r="BO32" s="385" t="n"/>
      <c r="BP32" s="385" t="n"/>
      <c r="BQ32" s="385" t="n"/>
      <c r="BR32" s="385" t="n"/>
      <c r="BS32" s="385" t="n"/>
      <c r="BT32" s="441" t="n">
        <v>0</v>
      </c>
      <c r="BU32" s="441" t="n">
        <v>487077</v>
      </c>
      <c r="BV32" s="441" t="n">
        <v>733618</v>
      </c>
      <c r="BW32" s="441" t="n">
        <v>497171</v>
      </c>
      <c r="BX32" s="441" t="n"/>
      <c r="BY32" s="441" t="n"/>
      <c r="BZ32" s="441" t="n"/>
      <c r="CA32" s="441" t="n"/>
      <c r="CB32" s="441" t="n"/>
      <c r="CC32" s="441" t="n"/>
      <c r="CD32" s="441" t="n"/>
      <c r="CE32" s="441" t="n"/>
      <c r="CF32" s="880">
        <f>SUM(BT32:CE32)</f>
        <v/>
      </c>
    </row>
    <row r="33" ht="42" customFormat="1" customHeight="1" s="324">
      <c r="A33" s="464" t="n">
        <v>30</v>
      </c>
      <c r="B33" s="559" t="inlineStr">
        <is>
          <t>กับข้าว</t>
        </is>
      </c>
      <c r="C33" s="464" t="inlineStr">
        <is>
          <t>PMA20</t>
        </is>
      </c>
      <c r="D33" s="652" t="inlineStr">
        <is>
          <t>Q1</t>
        </is>
      </c>
      <c r="E33" s="464" t="inlineStr">
        <is>
          <t>Feb</t>
        </is>
      </c>
      <c r="F33" s="464" t="n">
        <v>90139674</v>
      </c>
      <c r="G33" s="611" t="inlineStr">
        <is>
          <t>แกงเห็ดรวมมิตร 225 กรัม IMP2026, Frozen</t>
        </is>
      </c>
      <c r="H33" s="584" t="n">
        <v>8</v>
      </c>
      <c r="I33" s="560" t="n">
        <v>3</v>
      </c>
      <c r="J33" s="579" t="n">
        <v>0</v>
      </c>
      <c r="K33" s="465" t="n"/>
      <c r="L33" s="588" t="n">
        <v>100</v>
      </c>
      <c r="M33" s="589" t="n">
        <v>0</v>
      </c>
      <c r="N33" s="589" t="n">
        <v>1</v>
      </c>
      <c r="O33" s="589" t="n"/>
      <c r="P33" s="589" t="n"/>
      <c r="Q33" s="589" t="n"/>
      <c r="R33" s="589" t="n"/>
      <c r="S33" s="466" t="n"/>
      <c r="T33" s="525" t="n"/>
      <c r="U33" s="466" t="n"/>
      <c r="V33" s="466" t="n"/>
      <c r="W33" s="466" t="n"/>
      <c r="X33" s="466" t="n"/>
      <c r="Y33" s="466" t="n"/>
      <c r="Z33" s="532" t="n"/>
      <c r="AA33" s="394" t="n"/>
      <c r="AB33" s="394" t="n"/>
      <c r="AC33" s="510" t="n"/>
      <c r="AD33" s="467" t="n"/>
      <c r="AE33" s="467" t="n"/>
      <c r="AF33" s="467" t="n"/>
      <c r="AG33" s="467">
        <f>Table13[[#This Row],[วัน Pre-test 
run]]-Table13[[#This Row],[วันที่การตลาด
อนุมัติใบขอรหัส]]</f>
        <v/>
      </c>
      <c r="AH33" s="467" t="n"/>
      <c r="AI33" s="467">
        <f>Table13[[#This Row],[Lead 
time (วัน)]]-Table13[[#This Row],[จำนวนวัน
ที่รอ artwork (วัน)]]</f>
        <v/>
      </c>
      <c r="AJ33" s="468" t="n">
        <v>45894</v>
      </c>
      <c r="AK33" s="468" t="n">
        <v>45960</v>
      </c>
      <c r="AL33" s="435">
        <f>Table13[[#This Row],[Launch 
Date.]]-Table13[[#This Row],[วันที่การตลาดอนุมัติ
ใบขอรหัส.]]</f>
        <v/>
      </c>
      <c r="AM33" s="888" t="n">
        <v>45916</v>
      </c>
      <c r="AN33" s="435">
        <f>Table13[[#This Row],[Launch 
Date.]]-Table13[[#This Row],[วันที่ใบขอรหัสจบ(ภายใน)]]</f>
        <v/>
      </c>
      <c r="AO33" s="35" t="n"/>
      <c r="AP33" s="35" t="n">
        <v>1</v>
      </c>
      <c r="AQ33" s="35" t="n">
        <v>1</v>
      </c>
      <c r="AR33" s="469" t="inlineStr">
        <is>
          <t>All Store</t>
        </is>
      </c>
      <c r="AS33" s="436" t="n">
        <v>0</v>
      </c>
      <c r="AT33" s="436" t="n"/>
      <c r="AU33" s="522" t="n">
        <v>32.92</v>
      </c>
      <c r="AV33" s="522" t="n">
        <v>32.92</v>
      </c>
      <c r="AW33" s="470" t="n"/>
      <c r="AX33" s="885" t="n">
        <v>35.09</v>
      </c>
      <c r="AY33" s="886" t="n">
        <v>35.09</v>
      </c>
      <c r="AZ33" s="470" t="n">
        <v>33.73</v>
      </c>
      <c r="BA33" s="470" t="n"/>
      <c r="BB33" s="470" t="n"/>
      <c r="BC33" s="887" t="n"/>
      <c r="BD33" s="470" t="n"/>
      <c r="BE33" s="470" t="n"/>
      <c r="BF33" s="470" t="n"/>
      <c r="BG33" s="469" t="n"/>
      <c r="BH33" s="469" t="n"/>
      <c r="BI33" s="470">
        <f>AVERAGE(AW33:BH33)</f>
        <v/>
      </c>
      <c r="BJ33" s="470">
        <f>BI33-AU33</f>
        <v/>
      </c>
      <c r="BK33" s="413" t="n"/>
      <c r="BL33" s="410" t="n"/>
      <c r="BM33" s="521" t="inlineStr">
        <is>
          <t>ไม่ระบุ nutrition บน aw</t>
        </is>
      </c>
      <c r="BN33" s="488" t="n"/>
      <c r="BO33" s="385" t="n"/>
      <c r="BP33" s="385" t="n"/>
      <c r="BQ33" s="385" t="n"/>
      <c r="BR33" s="385" t="n"/>
      <c r="BS33" s="385" t="n"/>
      <c r="BT33" s="441" t="n">
        <v>0</v>
      </c>
      <c r="BU33" s="441" t="n">
        <v>4024986</v>
      </c>
      <c r="BV33" s="441" t="n">
        <v>6713483</v>
      </c>
      <c r="BW33" s="441" t="n">
        <v>8036297</v>
      </c>
      <c r="BX33" s="441" t="n"/>
      <c r="BY33" s="441" t="n"/>
      <c r="BZ33" s="441" t="n"/>
      <c r="CA33" s="441" t="n"/>
      <c r="CB33" s="441" t="n"/>
      <c r="CC33" s="441" t="n"/>
      <c r="CD33" s="441" t="n"/>
      <c r="CE33" s="441" t="n"/>
      <c r="CF33" s="880">
        <f>SUM(BT33:CE33)</f>
        <v/>
      </c>
    </row>
    <row r="34" ht="42" customFormat="1" customHeight="1" s="324">
      <c r="A34" s="464" t="n">
        <v>31</v>
      </c>
      <c r="B34" s="559" t="inlineStr">
        <is>
          <t>เบอร์เกอร์ รองท้อง</t>
        </is>
      </c>
      <c r="C34" s="464" t="inlineStr">
        <is>
          <t>PMA08</t>
        </is>
      </c>
      <c r="D34" s="652" t="inlineStr">
        <is>
          <t>Q1</t>
        </is>
      </c>
      <c r="E34" s="464" t="inlineStr">
        <is>
          <t>Feb</t>
        </is>
      </c>
      <c r="F34" s="464" t="n">
        <v>90113354</v>
      </c>
      <c r="G34" s="611" t="inlineStr">
        <is>
          <t>เลิฟเวอร์BGไก่ทอดชีสEZYGO139g,7-11</t>
        </is>
      </c>
      <c r="H34" s="584" t="n">
        <v>1</v>
      </c>
      <c r="I34" s="560" t="n">
        <v>1</v>
      </c>
      <c r="J34" s="578" t="n">
        <v>0</v>
      </c>
      <c r="K34" s="465" t="n"/>
      <c r="L34" s="588" t="n">
        <v>100</v>
      </c>
      <c r="M34" s="589" t="n">
        <v>0.15</v>
      </c>
      <c r="N34" s="589" t="n">
        <v>1</v>
      </c>
      <c r="O34" s="587" t="n">
        <v>1</v>
      </c>
      <c r="P34" s="587" t="n">
        <v>0</v>
      </c>
      <c r="Q34" s="587" t="n">
        <v>0</v>
      </c>
      <c r="R34" s="589" t="n"/>
      <c r="S34" s="466" t="n"/>
      <c r="T34" s="525" t="n"/>
      <c r="U34" s="587" t="n">
        <v>1</v>
      </c>
      <c r="V34" s="587" t="n">
        <v>0</v>
      </c>
      <c r="W34" s="587" t="n">
        <v>0</v>
      </c>
      <c r="X34" s="466" t="n"/>
      <c r="Y34" s="466" t="n"/>
      <c r="Z34" s="532" t="n"/>
      <c r="AA34" s="394" t="n"/>
      <c r="AB34" s="394" t="n"/>
      <c r="AC34" s="510" t="n"/>
      <c r="AD34" s="467" t="n"/>
      <c r="AE34" s="467" t="n"/>
      <c r="AF34" s="467" t="n"/>
      <c r="AG34" s="467">
        <f>Table13[[#This Row],[วัน Pre-test 
run]]-Table13[[#This Row],[วันที่การตลาด
อนุมัติใบขอรหัส]]</f>
        <v/>
      </c>
      <c r="AH34" s="467" t="n"/>
      <c r="AI34" s="467">
        <f>Table13[[#This Row],[Lead 
time (วัน)]]-Table13[[#This Row],[จำนวนวัน
ที่รอ artwork (วัน)]]</f>
        <v/>
      </c>
      <c r="AJ34" s="468" t="n">
        <v>46012</v>
      </c>
      <c r="AK34" s="468" t="n">
        <v>46058</v>
      </c>
      <c r="AL34" s="435">
        <f>Table13[[#This Row],[Launch 
Date.]]-Table13[[#This Row],[วันที่การตลาดอนุมัติ
ใบขอรหัส.]]</f>
        <v/>
      </c>
      <c r="AM34" s="888" t="n">
        <v>46028</v>
      </c>
      <c r="AN34" s="435">
        <f>Table13[[#This Row],[Launch 
Date.]]-Table13[[#This Row],[วันที่ใบขอรหัสจบ(ภายใน)]]</f>
        <v/>
      </c>
      <c r="AO34" s="35" t="n">
        <v>1</v>
      </c>
      <c r="AP34" s="35" t="n"/>
      <c r="AQ34" s="35" t="n">
        <v>1</v>
      </c>
      <c r="AR34" s="469" t="inlineStr">
        <is>
          <t>All Store</t>
        </is>
      </c>
      <c r="AS34" s="436" t="n">
        <v>0</v>
      </c>
      <c r="AT34" s="436" t="n"/>
      <c r="AU34" s="522" t="n">
        <v>25.25</v>
      </c>
      <c r="AV34" s="522" t="n">
        <v>25.25</v>
      </c>
      <c r="AW34" s="470" t="n"/>
      <c r="AX34" s="885" t="n">
        <v>32.18</v>
      </c>
      <c r="AY34" s="886" t="n">
        <v>27.15</v>
      </c>
      <c r="AZ34" s="470" t="n"/>
      <c r="BA34" s="470" t="n"/>
      <c r="BB34" s="470" t="n"/>
      <c r="BC34" s="887" t="n"/>
      <c r="BD34" s="470" t="n"/>
      <c r="BE34" s="470" t="n"/>
      <c r="BF34" s="470" t="n"/>
      <c r="BG34" s="469" t="n"/>
      <c r="BH34" s="469" t="n"/>
      <c r="BI34" s="470">
        <f>AVERAGE(AW34:BH34)</f>
        <v/>
      </c>
      <c r="BJ34" s="470">
        <f>BI34-AU34</f>
        <v/>
      </c>
      <c r="BK34" s="413" t="n"/>
      <c r="BL34" s="410" t="n"/>
      <c r="BM34" s="474" t="n">
        <v>980</v>
      </c>
      <c r="BN34" s="488" t="n">
        <v>1</v>
      </c>
      <c r="BO34" s="385" t="n"/>
      <c r="BP34" s="385" t="n"/>
      <c r="BQ34" s="385" t="n"/>
      <c r="BR34" s="385" t="n"/>
      <c r="BS34" s="385" t="n"/>
      <c r="BT34" s="441" t="n">
        <v>0</v>
      </c>
      <c r="BU34" s="441" t="n">
        <v>4512763</v>
      </c>
      <c r="BV34" s="441" t="n">
        <v>1159764</v>
      </c>
      <c r="BW34" s="441" t="n">
        <v>0</v>
      </c>
      <c r="BX34" s="441" t="n"/>
      <c r="BY34" s="441" t="n"/>
      <c r="BZ34" s="441" t="n"/>
      <c r="CA34" s="441" t="n"/>
      <c r="CB34" s="441" t="n"/>
      <c r="CC34" s="441" t="n"/>
      <c r="CD34" s="441" t="n"/>
      <c r="CE34" s="441" t="n"/>
      <c r="CF34" s="880">
        <f>SUM(BT34:CE34)</f>
        <v/>
      </c>
    </row>
    <row r="35" ht="42" customFormat="1" customHeight="1" s="324">
      <c r="A35" s="464" t="n">
        <v>32</v>
      </c>
      <c r="B35" s="559" t="inlineStr">
        <is>
          <t>เบอร์เกอร์ รองท้อง</t>
        </is>
      </c>
      <c r="C35" s="464" t="inlineStr">
        <is>
          <t>PMA08</t>
        </is>
      </c>
      <c r="D35" s="652" t="inlineStr">
        <is>
          <t>Q1</t>
        </is>
      </c>
      <c r="E35" s="464" t="inlineStr">
        <is>
          <t>Feb</t>
        </is>
      </c>
      <c r="F35" s="464" t="inlineStr">
        <is>
          <t>90113357</t>
        </is>
      </c>
      <c r="G35" s="611" t="inlineStr">
        <is>
          <t>BGกุ้งและไข่กุ้งEZYGO98g7-11IMP2026</t>
        </is>
      </c>
      <c r="H35" s="584" t="n">
        <v>1</v>
      </c>
      <c r="I35" s="560" t="inlineStr">
        <is>
          <t>CHB</t>
        </is>
      </c>
      <c r="J35" s="579" t="n">
        <v>0</v>
      </c>
      <c r="K35" s="465" t="n"/>
      <c r="L35" s="589" t="n">
        <v>100</v>
      </c>
      <c r="M35" s="589" t="n">
        <v>0</v>
      </c>
      <c r="N35" s="589" t="n">
        <v>1</v>
      </c>
      <c r="O35" s="587" t="n">
        <v>1</v>
      </c>
      <c r="P35" s="587" t="n">
        <v>0</v>
      </c>
      <c r="Q35" s="587" t="n">
        <v>0</v>
      </c>
      <c r="R35" s="589" t="n"/>
      <c r="S35" s="466" t="n"/>
      <c r="T35" s="525" t="n"/>
      <c r="U35" s="587" t="n">
        <v>1</v>
      </c>
      <c r="V35" s="587" t="n">
        <v>0</v>
      </c>
      <c r="W35" s="587" t="n">
        <v>0</v>
      </c>
      <c r="X35" s="466" t="n"/>
      <c r="Y35" s="466" t="n"/>
      <c r="Z35" s="532" t="n"/>
      <c r="AA35" s="394" t="n"/>
      <c r="AB35" s="394" t="n"/>
      <c r="AC35" s="510" t="n"/>
      <c r="AD35" s="467" t="n"/>
      <c r="AE35" s="467" t="n"/>
      <c r="AF35" s="467" t="n"/>
      <c r="AG35" s="467">
        <f>Table13[[#This Row],[วัน Pre-test 
run]]-Table13[[#This Row],[วันที่การตลาด
อนุมัติใบขอรหัส]]</f>
        <v/>
      </c>
      <c r="AH35" s="467" t="n"/>
      <c r="AI35" s="467">
        <f>Table13[[#This Row],[Lead 
time (วัน)]]-Table13[[#This Row],[จำนวนวัน
ที่รอ artwork (วัน)]]</f>
        <v/>
      </c>
      <c r="AJ35" s="468" t="n">
        <v>46024</v>
      </c>
      <c r="AK35" s="468" t="n">
        <v>46065</v>
      </c>
      <c r="AL35" s="435">
        <f>Table13[[#This Row],[Launch 
Date.]]-Table13[[#This Row],[วันที่การตลาดอนุมัติ
ใบขอรหัส.]]</f>
        <v/>
      </c>
      <c r="AM35" s="888" t="n">
        <v>46034</v>
      </c>
      <c r="AN35" s="435">
        <f>Table13[[#This Row],[Launch 
Date.]]-Table13[[#This Row],[วันที่ใบขอรหัสจบ(ภายใน)]]</f>
        <v/>
      </c>
      <c r="AO35" s="35" t="n"/>
      <c r="AP35" s="35" t="n">
        <v>1</v>
      </c>
      <c r="AQ35" s="35" t="n">
        <v>1</v>
      </c>
      <c r="AR35" s="469" t="inlineStr">
        <is>
          <t>All Store</t>
        </is>
      </c>
      <c r="AS35" s="436" t="n">
        <v>0</v>
      </c>
      <c r="AT35" s="436" t="n"/>
      <c r="AU35" s="522" t="n">
        <v>29.65</v>
      </c>
      <c r="AV35" s="522" t="n">
        <v>23.33</v>
      </c>
      <c r="AW35" s="470" t="n"/>
      <c r="AX35" s="889" t="n">
        <v>28.53</v>
      </c>
      <c r="AY35" s="890" t="n">
        <v>28.25</v>
      </c>
      <c r="AZ35" s="622" t="n">
        <v>26</v>
      </c>
      <c r="BA35" s="470" t="n"/>
      <c r="BB35" s="470" t="n"/>
      <c r="BC35" s="887" t="n"/>
      <c r="BD35" s="470" t="n"/>
      <c r="BE35" s="470" t="n"/>
      <c r="BF35" s="470" t="n"/>
      <c r="BG35" s="469" t="n"/>
      <c r="BH35" s="469" t="n"/>
      <c r="BI35" s="470">
        <f>AVERAGE(AW35:BH35)</f>
        <v/>
      </c>
      <c r="BJ35" s="470">
        <f>BI35-AU35</f>
        <v/>
      </c>
      <c r="BK35" s="413" t="n"/>
      <c r="BL35" s="410" t="n"/>
      <c r="BM35" s="474" t="n">
        <v>720</v>
      </c>
      <c r="BN35" s="488" t="n">
        <v>1</v>
      </c>
      <c r="BO35" s="385" t="n"/>
      <c r="BP35" s="385" t="n"/>
      <c r="BQ35" s="385" t="n"/>
      <c r="BR35" s="385" t="n"/>
      <c r="BS35" s="385" t="n"/>
      <c r="BT35" s="441" t="n">
        <v>0</v>
      </c>
      <c r="BU35" s="441" t="n">
        <v>2800165</v>
      </c>
      <c r="BV35" s="441" t="n">
        <v>3233169</v>
      </c>
      <c r="BW35" s="441" t="n">
        <v>2406599</v>
      </c>
      <c r="BX35" s="441" t="n"/>
      <c r="BY35" s="441" t="n"/>
      <c r="BZ35" s="441" t="n"/>
      <c r="CA35" s="441" t="n"/>
      <c r="CB35" s="441" t="n"/>
      <c r="CC35" s="441" t="n"/>
      <c r="CD35" s="441" t="n"/>
      <c r="CE35" s="441" t="n"/>
      <c r="CF35" s="880">
        <f>SUM(BT35:CE35)</f>
        <v/>
      </c>
    </row>
    <row r="36" ht="42" customFormat="1" customHeight="1" s="324">
      <c r="A36" s="464" t="n">
        <v>33</v>
      </c>
      <c r="B36" s="559" t="inlineStr">
        <is>
          <t>เบอร์เกอร์ รองท้อง</t>
        </is>
      </c>
      <c r="C36" s="464" t="inlineStr">
        <is>
          <t>PMA08</t>
        </is>
      </c>
      <c r="D36" s="652" t="inlineStr">
        <is>
          <t>Q1</t>
        </is>
      </c>
      <c r="E36" s="464" t="inlineStr">
        <is>
          <t>Feb</t>
        </is>
      </c>
      <c r="F36" s="464" t="inlineStr">
        <is>
          <t>90113358</t>
        </is>
      </c>
      <c r="G36" s="611" t="inlineStr">
        <is>
          <t>เบอร์เกอร์หมูEZGO93g(IMP2026,)7-11</t>
        </is>
      </c>
      <c r="H36" s="584" t="n">
        <v>1</v>
      </c>
      <c r="I36" s="560" t="inlineStr">
        <is>
          <t>1,All BU</t>
        </is>
      </c>
      <c r="J36" s="578" t="n">
        <v>0</v>
      </c>
      <c r="K36" s="465" t="n"/>
      <c r="L36" s="588" t="n">
        <v>100</v>
      </c>
      <c r="M36" s="589" t="n">
        <v>0.08</v>
      </c>
      <c r="N36" s="589" t="n">
        <v>1</v>
      </c>
      <c r="O36" s="587" t="n">
        <v>0</v>
      </c>
      <c r="P36" s="587" t="n">
        <v>0</v>
      </c>
      <c r="Q36" s="587" t="n">
        <v>1</v>
      </c>
      <c r="R36" s="589" t="inlineStr">
        <is>
          <t>สินค้าไม่ผ่าน</t>
        </is>
      </c>
      <c r="S36" s="466" t="n"/>
      <c r="T36" s="394" t="inlineStr">
        <is>
          <t>เนื้อสัมผัสไม่ได้</t>
        </is>
      </c>
      <c r="U36" s="587" t="n">
        <v>0</v>
      </c>
      <c r="V36" s="587" t="n">
        <v>0</v>
      </c>
      <c r="W36" s="587" t="n">
        <v>1</v>
      </c>
      <c r="X36" s="589" t="inlineStr">
        <is>
          <t>สินค้าไม่ผ่าน</t>
        </is>
      </c>
      <c r="Y36" s="466" t="inlineStr">
        <is>
          <t>Man</t>
        </is>
      </c>
      <c r="Z36" s="394" t="inlineStr">
        <is>
          <t>เนื้อสัมผัสไม่ได้</t>
        </is>
      </c>
      <c r="AA36" s="394" t="inlineStr">
        <is>
          <t>ไม่เข้าซ้ำ</t>
        </is>
      </c>
      <c r="AB36" s="394" t="n"/>
      <c r="AC36" s="510" t="n"/>
      <c r="AD36" s="467" t="n"/>
      <c r="AE36" s="467" t="n"/>
      <c r="AF36" s="467" t="n"/>
      <c r="AG36" s="467">
        <f>Table13[[#This Row],[วัน Pre-test 
run]]-Table13[[#This Row],[วันที่การตลาด
อนุมัติใบขอรหัส]]</f>
        <v/>
      </c>
      <c r="AH36" s="467" t="n"/>
      <c r="AI36" s="467">
        <f>Table13[[#This Row],[Lead 
time (วัน)]]-Table13[[#This Row],[จำนวนวัน
ที่รอ artwork (วัน)]]</f>
        <v/>
      </c>
      <c r="AJ36" s="468" t="n">
        <v>46045</v>
      </c>
      <c r="AK36" s="468" t="n">
        <v>46079</v>
      </c>
      <c r="AL36" s="435">
        <f>Table13[[#This Row],[Launch 
Date.]]-Table13[[#This Row],[วันที่การตลาดอนุมัติ
ใบขอรหัส.]]</f>
        <v/>
      </c>
      <c r="AM36" s="888" t="n">
        <v>46051</v>
      </c>
      <c r="AN36" s="435">
        <f>Table13[[#This Row],[Launch 
Date.]]-Table13[[#This Row],[วันที่ใบขอรหัสจบ(ภายใน)]]</f>
        <v/>
      </c>
      <c r="AO36" s="35" t="n"/>
      <c r="AP36" s="35" t="n">
        <v>1</v>
      </c>
      <c r="AQ36" s="35" t="n">
        <v>1</v>
      </c>
      <c r="AR36" s="469" t="inlineStr">
        <is>
          <t>All Store</t>
        </is>
      </c>
      <c r="AS36" s="436" t="n">
        <v>0</v>
      </c>
      <c r="AT36" s="436" t="n"/>
      <c r="AU36" s="522" t="n">
        <v>30.73</v>
      </c>
      <c r="AV36" s="522" t="n">
        <v>22.49</v>
      </c>
      <c r="AW36" s="470" t="n"/>
      <c r="AX36" s="885" t="n">
        <v>35.01</v>
      </c>
      <c r="AY36" s="886" t="n">
        <v>34.76</v>
      </c>
      <c r="AZ36" s="470" t="n">
        <v>31.32</v>
      </c>
      <c r="BA36" s="470" t="n"/>
      <c r="BB36" s="470" t="n"/>
      <c r="BC36" s="887" t="n"/>
      <c r="BD36" s="470" t="n"/>
      <c r="BE36" s="470" t="n"/>
      <c r="BF36" s="470" t="n"/>
      <c r="BG36" s="469" t="n"/>
      <c r="BH36" s="469" t="n"/>
      <c r="BI36" s="470">
        <f>AVERAGE(AW36:BH36)</f>
        <v/>
      </c>
      <c r="BJ36" s="470">
        <f>BI36-AU36</f>
        <v/>
      </c>
      <c r="BK36" s="413" t="n"/>
      <c r="BL36" s="410" t="n"/>
      <c r="BM36" s="474" t="n">
        <v>540</v>
      </c>
      <c r="BN36" s="488" t="n">
        <v>1</v>
      </c>
      <c r="BO36" s="385" t="n"/>
      <c r="BP36" s="385" t="n"/>
      <c r="BQ36" s="385" t="n"/>
      <c r="BR36" s="385" t="n"/>
      <c r="BS36" s="385" t="n"/>
      <c r="BT36" s="441" t="n">
        <v>0</v>
      </c>
      <c r="BU36" s="441" t="n">
        <v>2002288</v>
      </c>
      <c r="BV36" s="441" t="n">
        <v>12903828</v>
      </c>
      <c r="BW36" s="441" t="n">
        <v>14285232</v>
      </c>
      <c r="BX36" s="441" t="n"/>
      <c r="BY36" s="441" t="n"/>
      <c r="BZ36" s="441" t="n"/>
      <c r="CA36" s="441" t="n"/>
      <c r="CB36" s="441" t="n"/>
      <c r="CC36" s="441" t="n"/>
      <c r="CD36" s="441" t="n"/>
      <c r="CE36" s="441" t="n"/>
      <c r="CF36" s="880">
        <f>SUM(BT36:CE36)</f>
        <v/>
      </c>
    </row>
    <row r="37" ht="42" customFormat="1" customHeight="1" s="324">
      <c r="A37" s="464" t="n">
        <v>34</v>
      </c>
      <c r="B37" s="559" t="inlineStr">
        <is>
          <t>ข้าวเหนียว สเต็ก</t>
        </is>
      </c>
      <c r="C37" s="464" t="inlineStr">
        <is>
          <t>PMA08</t>
        </is>
      </c>
      <c r="D37" s="652" t="inlineStr">
        <is>
          <t>Q1</t>
        </is>
      </c>
      <c r="E37" s="464" t="inlineStr">
        <is>
          <t>Feb</t>
        </is>
      </c>
      <c r="F37" s="464" t="inlineStr">
        <is>
          <t>90113353</t>
        </is>
      </c>
      <c r="G37" s="611" t="inlineStr">
        <is>
          <t>เบอร์เกอร์ข้าวเหนียวหมูย่างEZYGO141g7-11</t>
        </is>
      </c>
      <c r="H37" s="584" t="n">
        <v>1</v>
      </c>
      <c r="I37" s="560" t="n">
        <v>4</v>
      </c>
      <c r="J37" s="579" t="n">
        <v>0</v>
      </c>
      <c r="K37" s="465" t="n"/>
      <c r="L37" s="589" t="n">
        <v>100</v>
      </c>
      <c r="M37" s="589" t="n">
        <v>0</v>
      </c>
      <c r="N37" s="589" t="n">
        <v>1</v>
      </c>
      <c r="O37" s="587" t="n">
        <v>1</v>
      </c>
      <c r="P37" s="587" t="n">
        <v>0</v>
      </c>
      <c r="Q37" s="587" t="n">
        <v>0</v>
      </c>
      <c r="R37" s="589" t="n"/>
      <c r="S37" s="466" t="n"/>
      <c r="T37" s="525" t="n"/>
      <c r="U37" s="587" t="n">
        <v>1</v>
      </c>
      <c r="V37" s="587" t="n">
        <v>0</v>
      </c>
      <c r="W37" s="587" t="n">
        <v>0</v>
      </c>
      <c r="X37" s="466" t="n"/>
      <c r="Y37" s="466" t="n"/>
      <c r="Z37" s="532" t="n"/>
      <c r="AA37" s="394" t="n"/>
      <c r="AB37" s="394" t="n"/>
      <c r="AC37" s="510" t="n"/>
      <c r="AD37" s="467" t="n"/>
      <c r="AE37" s="467" t="n"/>
      <c r="AF37" s="467" t="n"/>
      <c r="AG37" s="467">
        <f>Table13[[#This Row],[วัน Pre-test 
run]]-Table13[[#This Row],[วันที่การตลาด
อนุมัติใบขอรหัส]]</f>
        <v/>
      </c>
      <c r="AH37" s="467" t="n"/>
      <c r="AI37" s="467">
        <f>Table13[[#This Row],[Lead 
time (วัน)]]-Table13[[#This Row],[จำนวนวัน
ที่รอ artwork (วัน)]]</f>
        <v/>
      </c>
      <c r="AJ37" s="468" t="n">
        <v>46010</v>
      </c>
      <c r="AK37" s="468" t="n">
        <v>46058</v>
      </c>
      <c r="AL37" s="435">
        <f>Table13[[#This Row],[Launch 
Date.]]-Table13[[#This Row],[วันที่การตลาดอนุมัติ
ใบขอรหัส.]]</f>
        <v/>
      </c>
      <c r="AM37" s="888" t="n">
        <v>46028</v>
      </c>
      <c r="AN37" s="435">
        <f>Table13[[#This Row],[Launch 
Date.]]-Table13[[#This Row],[วันที่ใบขอรหัสจบ(ภายใน)]]</f>
        <v/>
      </c>
      <c r="AO37" s="35" t="n">
        <v>1</v>
      </c>
      <c r="AP37" s="35" t="n"/>
      <c r="AQ37" s="35" t="n">
        <v>1</v>
      </c>
      <c r="AR37" s="469" t="inlineStr">
        <is>
          <t>All Store</t>
        </is>
      </c>
      <c r="AS37" s="436" t="n">
        <v>0</v>
      </c>
      <c r="AT37" s="436" t="n"/>
      <c r="AU37" s="522" t="n">
        <v>36.65</v>
      </c>
      <c r="AV37" s="522" t="n">
        <v>36.65</v>
      </c>
      <c r="AW37" s="470" t="n"/>
      <c r="AX37" s="885" t="n">
        <v>64.56999999999999</v>
      </c>
      <c r="AY37" s="886" t="n">
        <v>64.84999999999999</v>
      </c>
      <c r="AZ37" s="470" t="n">
        <v>56.28</v>
      </c>
      <c r="BA37" s="470" t="n"/>
      <c r="BB37" s="470" t="n"/>
      <c r="BC37" s="887" t="n"/>
      <c r="BD37" s="470" t="n"/>
      <c r="BE37" s="470" t="n"/>
      <c r="BF37" s="470" t="n"/>
      <c r="BG37" s="469" t="n"/>
      <c r="BH37" s="469" t="n"/>
      <c r="BI37" s="470">
        <f>AVERAGE(AW37:BH37)</f>
        <v/>
      </c>
      <c r="BJ37" s="470">
        <f>BI37-AU37</f>
        <v/>
      </c>
      <c r="BK37" s="413" t="n"/>
      <c r="BL37" s="410" t="n"/>
      <c r="BM37" s="474" t="n">
        <v>350</v>
      </c>
      <c r="BN37" s="488" t="n">
        <v>1</v>
      </c>
      <c r="BO37" s="385" t="n"/>
      <c r="BP37" s="385" t="n"/>
      <c r="BQ37" s="385" t="n"/>
      <c r="BR37" s="385" t="n"/>
      <c r="BS37" s="385" t="n"/>
      <c r="BT37" s="441" t="n">
        <v>0</v>
      </c>
      <c r="BU37" s="891" t="n">
        <v>3518368</v>
      </c>
      <c r="BV37" s="441" t="n">
        <v>2029084</v>
      </c>
      <c r="BW37" s="441" t="n">
        <v>985173</v>
      </c>
      <c r="BX37" s="441" t="n"/>
      <c r="BY37" s="441" t="n"/>
      <c r="BZ37" s="441" t="n"/>
      <c r="CA37" s="441" t="n"/>
      <c r="CB37" s="441" t="n"/>
      <c r="CC37" s="441" t="n"/>
      <c r="CD37" s="441" t="n"/>
      <c r="CE37" s="441" t="n"/>
      <c r="CF37" s="880">
        <f>SUM(BT37:CE37)</f>
        <v/>
      </c>
    </row>
    <row r="38" ht="42" customFormat="1" customHeight="1" s="324">
      <c r="A38" s="464" t="n">
        <v>35</v>
      </c>
      <c r="B38" s="559" t="inlineStr">
        <is>
          <t>ข้าวเหนียว สเต็ก</t>
        </is>
      </c>
      <c r="C38" s="464" t="inlineStr">
        <is>
          <t>PMA22</t>
        </is>
      </c>
      <c r="D38" s="652" t="inlineStr">
        <is>
          <t>Q1</t>
        </is>
      </c>
      <c r="E38" s="590" t="inlineStr">
        <is>
          <t>Feb</t>
        </is>
      </c>
      <c r="F38" s="570" t="inlineStr">
        <is>
          <t>90138905</t>
        </is>
      </c>
      <c r="G38" s="612" t="inlineStr">
        <is>
          <t>ข้าวเหนียวไก่ย่างแดง อีซี่โก 170g, 7-11</t>
        </is>
      </c>
      <c r="H38" s="584" t="n">
        <v>2</v>
      </c>
      <c r="I38" s="560" t="n">
        <v>4</v>
      </c>
      <c r="J38" s="578" t="n">
        <v>0</v>
      </c>
      <c r="K38" s="465" t="n"/>
      <c r="L38" s="588" t="n">
        <v>100</v>
      </c>
      <c r="M38" s="589" t="n">
        <v>0.13</v>
      </c>
      <c r="N38" s="589" t="n">
        <v>1</v>
      </c>
      <c r="O38" s="587" t="n">
        <v>1</v>
      </c>
      <c r="P38" s="587" t="n">
        <v>0</v>
      </c>
      <c r="Q38" s="587" t="n">
        <v>0</v>
      </c>
      <c r="R38" s="589" t="n"/>
      <c r="S38" s="466" t="n"/>
      <c r="T38" s="525" t="n"/>
      <c r="U38" s="587" t="n">
        <v>0</v>
      </c>
      <c r="V38" s="587" t="n">
        <v>1</v>
      </c>
      <c r="W38" s="587" t="n">
        <v>0</v>
      </c>
      <c r="X38" s="466" t="n"/>
      <c r="Y38" s="466" t="n"/>
      <c r="Z38" s="532" t="n"/>
      <c r="AA38" s="394" t="n"/>
      <c r="AB38" s="394" t="n"/>
      <c r="AC38" s="510" t="n"/>
      <c r="AD38" s="467" t="n"/>
      <c r="AE38" s="467" t="n"/>
      <c r="AF38" s="467" t="n"/>
      <c r="AG38" s="467">
        <f>Table13[[#This Row],[วัน Pre-test 
run]]-Table13[[#This Row],[วันที่การตลาด
อนุมัติใบขอรหัส]]</f>
        <v/>
      </c>
      <c r="AH38" s="467" t="n"/>
      <c r="AI38" s="467">
        <f>Table13[[#This Row],[Lead 
time (วัน)]]-Table13[[#This Row],[จำนวนวัน
ที่รอ artwork (วัน)]]</f>
        <v/>
      </c>
      <c r="AJ38" s="468" t="n">
        <v>46014</v>
      </c>
      <c r="AK38" s="468" t="n">
        <v>46058</v>
      </c>
      <c r="AL38" s="435">
        <f>Table13[[#This Row],[Launch 
Date.]]-Table13[[#This Row],[วันที่การตลาดอนุมัติ
ใบขอรหัส.]]</f>
        <v/>
      </c>
      <c r="AM38" s="888" t="n">
        <v>46051</v>
      </c>
      <c r="AN38" s="435">
        <f>Table13[[#This Row],[Launch 
Date.]]-Table13[[#This Row],[วันที่ใบขอรหัสจบ(ภายใน)]]</f>
        <v/>
      </c>
      <c r="AO38" s="35" t="n">
        <v>1</v>
      </c>
      <c r="AP38" s="35" t="n"/>
      <c r="AQ38" s="35" t="n">
        <v>1</v>
      </c>
      <c r="AR38" s="469" t="inlineStr">
        <is>
          <t>ทดลองขาย</t>
        </is>
      </c>
      <c r="AS38" s="436" t="n">
        <v>1</v>
      </c>
      <c r="AT38" s="624" t="inlineStr">
        <is>
          <t>RM. LB cost สูงกว่าขอรหัส และราคาขายน้อยกว่าใบขอรหัส</t>
        </is>
      </c>
      <c r="AU38" s="522" t="n">
        <v>27.69</v>
      </c>
      <c r="AV38" s="522" t="n">
        <v>22.62</v>
      </c>
      <c r="AW38" s="470" t="n"/>
      <c r="AX38" s="885" t="n">
        <v>-9.33</v>
      </c>
      <c r="AY38" s="886" t="n">
        <v>-3.79</v>
      </c>
      <c r="AZ38" s="470" t="n">
        <v>-4.54</v>
      </c>
      <c r="BA38" s="470" t="n"/>
      <c r="BB38" s="470" t="n"/>
      <c r="BC38" s="887" t="n"/>
      <c r="BD38" s="470" t="n"/>
      <c r="BE38" s="470" t="n"/>
      <c r="BF38" s="470" t="n"/>
      <c r="BG38" s="469" t="n"/>
      <c r="BH38" s="469" t="n"/>
      <c r="BI38" s="470">
        <f>AVERAGE(AW38:BH38)</f>
        <v/>
      </c>
      <c r="BJ38" s="470">
        <f>BI38-AU38</f>
        <v/>
      </c>
      <c r="BK38" s="413" t="n"/>
      <c r="BL38" s="410" t="n"/>
      <c r="BM38" s="474" t="n">
        <v>550</v>
      </c>
      <c r="BN38" s="488" t="n">
        <v>1</v>
      </c>
      <c r="BO38" s="385" t="n"/>
      <c r="BP38" s="385" t="n"/>
      <c r="BQ38" s="385" t="n"/>
      <c r="BR38" s="385" t="n"/>
      <c r="BS38" s="385" t="n"/>
      <c r="BT38" s="441" t="n">
        <v>0</v>
      </c>
      <c r="BU38" s="441" t="n">
        <v>512010</v>
      </c>
      <c r="BV38" s="441" t="n">
        <v>358015</v>
      </c>
      <c r="BW38" s="441" t="n">
        <v>284820</v>
      </c>
      <c r="BX38" s="441" t="n"/>
      <c r="BY38" s="441" t="n"/>
      <c r="BZ38" s="441" t="n"/>
      <c r="CA38" s="441" t="n"/>
      <c r="CB38" s="441" t="n"/>
      <c r="CC38" s="441" t="n"/>
      <c r="CD38" s="441" t="n"/>
      <c r="CE38" s="441" t="n"/>
      <c r="CF38" s="880">
        <f>SUM(BT38:CE38)</f>
        <v/>
      </c>
    </row>
    <row r="39" ht="42" customFormat="1" customHeight="1" s="324">
      <c r="A39" s="464" t="n">
        <v>36</v>
      </c>
      <c r="B39" s="559" t="inlineStr">
        <is>
          <t>ติ่มซำ (นึ่ง)</t>
        </is>
      </c>
      <c r="C39" s="544" t="inlineStr">
        <is>
          <t>PMA24</t>
        </is>
      </c>
      <c r="D39" s="652" t="inlineStr">
        <is>
          <t>Q1</t>
        </is>
      </c>
      <c r="E39" s="591" t="inlineStr">
        <is>
          <t>Feb</t>
        </is>
      </c>
      <c r="F39" s="581" t="n">
        <v>90108281</v>
      </c>
      <c r="G39" s="613" t="inlineStr">
        <is>
          <t>แรบบิทครีม ตรา อีซี่โก 60 กรัม,7-11 Lv26</t>
        </is>
      </c>
      <c r="H39" s="584" t="n">
        <v>1</v>
      </c>
      <c r="I39" s="560" t="n">
        <v>2</v>
      </c>
      <c r="J39" s="579" t="n">
        <v>0</v>
      </c>
      <c r="K39" s="465" t="n"/>
      <c r="L39" s="588" t="n">
        <v>100</v>
      </c>
      <c r="M39" s="589" t="n">
        <v>0.42</v>
      </c>
      <c r="N39" s="589" t="n">
        <v>1</v>
      </c>
      <c r="O39" s="589" t="n">
        <v>1</v>
      </c>
      <c r="P39" s="589" t="n"/>
      <c r="Q39" s="589" t="n"/>
      <c r="R39" s="589" t="n"/>
      <c r="S39" s="466" t="n"/>
      <c r="T39" s="525" t="n"/>
      <c r="U39" s="466" t="n">
        <v>1</v>
      </c>
      <c r="V39" s="466" t="n"/>
      <c r="W39" s="466" t="n"/>
      <c r="X39" s="466" t="n"/>
      <c r="Y39" s="466" t="n"/>
      <c r="Z39" s="532" t="n"/>
      <c r="AA39" s="394" t="n"/>
      <c r="AB39" s="394" t="n"/>
      <c r="AC39" s="510" t="n"/>
      <c r="AD39" s="467" t="n"/>
      <c r="AE39" s="467" t="n"/>
      <c r="AF39" s="467" t="n"/>
      <c r="AG39" s="467">
        <f>Table13[[#This Row],[วัน Pre-test 
run]]-Table13[[#This Row],[วันที่การตลาด
อนุมัติใบขอรหัส]]</f>
        <v/>
      </c>
      <c r="AH39" s="467" t="n"/>
      <c r="AI39" s="467">
        <f>Table13[[#This Row],[Lead 
time (วัน)]]-Table13[[#This Row],[จำนวนวัน
ที่รอ artwork (วัน)]]</f>
        <v/>
      </c>
      <c r="AJ39" s="888" t="n">
        <v>46027</v>
      </c>
      <c r="AK39" s="468" t="n">
        <v>46078</v>
      </c>
      <c r="AL39" s="435">
        <f>Table13[[#This Row],[Launch 
Date.]]-Table13[[#This Row],[วันที่การตลาดอนุมัติ
ใบขอรหัส.]]</f>
        <v/>
      </c>
      <c r="AM39" s="888" t="n">
        <v>46036</v>
      </c>
      <c r="AN39" s="435">
        <f>Table13[[#This Row],[Launch 
Date.]]-Table13[[#This Row],[วันที่ใบขอรหัสจบ(ภายใน)]]</f>
        <v/>
      </c>
      <c r="AO39" s="35" t="n"/>
      <c r="AP39" s="35" t="n">
        <v>1</v>
      </c>
      <c r="AQ39" s="35" t="n">
        <v>1</v>
      </c>
      <c r="AR39" s="469" t="inlineStr">
        <is>
          <t>All Store</t>
        </is>
      </c>
      <c r="AS39" s="436" t="n">
        <v>0</v>
      </c>
      <c r="AT39" s="436" t="n"/>
      <c r="AU39" s="522" t="n">
        <v>36.94</v>
      </c>
      <c r="AV39" s="522" t="n">
        <v>36.94</v>
      </c>
      <c r="AW39" s="470" t="n"/>
      <c r="AX39" s="885" t="n">
        <v>49</v>
      </c>
      <c r="AY39" s="886" t="n">
        <v>50.41</v>
      </c>
      <c r="AZ39" s="470" t="n">
        <v>49.54</v>
      </c>
      <c r="BA39" s="470" t="n"/>
      <c r="BB39" s="470" t="n"/>
      <c r="BC39" s="887" t="n"/>
      <c r="BD39" s="470" t="n"/>
      <c r="BE39" s="470" t="n"/>
      <c r="BF39" s="470" t="n"/>
      <c r="BG39" s="469" t="n"/>
      <c r="BH39" s="469" t="n"/>
      <c r="BI39" s="470">
        <f>AVERAGE(AW39:BH39)</f>
        <v/>
      </c>
      <c r="BJ39" s="470">
        <f>BI39-AU39</f>
        <v/>
      </c>
      <c r="BK39" s="413" t="n"/>
      <c r="BL39" s="410" t="n"/>
      <c r="BM39" s="521" t="inlineStr">
        <is>
          <t>ไม่ระบุ nutrition บน aw</t>
        </is>
      </c>
      <c r="BN39" s="488" t="n"/>
      <c r="BO39" s="385" t="n"/>
      <c r="BP39" s="385" t="n"/>
      <c r="BQ39" s="385" t="n"/>
      <c r="BR39" s="385" t="n"/>
      <c r="BS39" s="385" t="n"/>
      <c r="BT39" s="441" t="n">
        <v>0</v>
      </c>
      <c r="BU39" s="441" t="n">
        <v>724593</v>
      </c>
      <c r="BV39" s="441" t="n">
        <v>5126676</v>
      </c>
      <c r="BW39" s="441" t="n">
        <v>5106241</v>
      </c>
      <c r="BX39" s="441" t="n"/>
      <c r="BY39" s="441" t="n"/>
      <c r="BZ39" s="441" t="n"/>
      <c r="CA39" s="441" t="n"/>
      <c r="CB39" s="441" t="n"/>
      <c r="CC39" s="441" t="n"/>
      <c r="CD39" s="441" t="n"/>
      <c r="CE39" s="441" t="n"/>
      <c r="CF39" s="880">
        <f>SUM(BT39:CE39)</f>
        <v/>
      </c>
    </row>
    <row r="40" ht="42" customFormat="1" customHeight="1" s="324">
      <c r="A40" s="464" t="n">
        <v>37</v>
      </c>
      <c r="B40" s="559" t="inlineStr">
        <is>
          <t>ติ่มซำ (นึ่ง)</t>
        </is>
      </c>
      <c r="C40" s="544" t="inlineStr">
        <is>
          <t>PMA24</t>
        </is>
      </c>
      <c r="D40" s="652" t="inlineStr">
        <is>
          <t>Q1</t>
        </is>
      </c>
      <c r="E40" s="571" t="inlineStr">
        <is>
          <t>Feb</t>
        </is>
      </c>
      <c r="F40" s="581" t="n">
        <v>90108280</v>
      </c>
      <c r="G40" s="614" t="inlineStr">
        <is>
          <t>เปาเผือกโมจิ (ซาลาเปา) อีซี่โก 80g,7-11</t>
        </is>
      </c>
      <c r="H40" s="584" t="n">
        <v>1</v>
      </c>
      <c r="I40" s="560" t="n">
        <v>2</v>
      </c>
      <c r="J40" s="578" t="n">
        <v>0</v>
      </c>
      <c r="K40" s="465" t="n"/>
      <c r="L40" s="589" t="n">
        <v>100</v>
      </c>
      <c r="M40" s="589" t="n">
        <v>0.52</v>
      </c>
      <c r="N40" s="589" t="n">
        <v>1</v>
      </c>
      <c r="O40" s="589" t="n">
        <v>1</v>
      </c>
      <c r="P40" s="589" t="n"/>
      <c r="Q40" s="589" t="n"/>
      <c r="R40" s="589" t="n"/>
      <c r="S40" s="466" t="n"/>
      <c r="T40" s="525" t="n"/>
      <c r="U40" s="466" t="n">
        <v>1</v>
      </c>
      <c r="V40" s="466" t="n"/>
      <c r="W40" s="466" t="n"/>
      <c r="X40" s="466" t="n"/>
      <c r="Y40" s="466" t="n"/>
      <c r="Z40" s="532" t="n"/>
      <c r="AA40" s="394" t="n"/>
      <c r="AB40" s="394" t="n"/>
      <c r="AC40" s="510" t="n"/>
      <c r="AD40" s="467" t="n"/>
      <c r="AE40" s="467" t="n"/>
      <c r="AF40" s="467" t="n"/>
      <c r="AG40" s="467">
        <f>Table13[[#This Row],[วัน Pre-test 
run]]-Table13[[#This Row],[วันที่การตลาด
อนุมัติใบขอรหัส]]</f>
        <v/>
      </c>
      <c r="AH40" s="467" t="n"/>
      <c r="AI40" s="467">
        <f>Table13[[#This Row],[Lead 
time (วัน)]]-Table13[[#This Row],[จำนวนวัน
ที่รอ artwork (วัน)]]</f>
        <v/>
      </c>
      <c r="AJ40" s="468" t="n">
        <v>46039</v>
      </c>
      <c r="AK40" s="468" t="n">
        <v>46078</v>
      </c>
      <c r="AL40" s="435">
        <f>Table13[[#This Row],[Launch 
Date.]]-Table13[[#This Row],[วันที่การตลาดอนุมัติ
ใบขอรหัส.]]</f>
        <v/>
      </c>
      <c r="AM40" s="888" t="n">
        <v>46048</v>
      </c>
      <c r="AN40" s="435">
        <f>Table13[[#This Row],[Launch 
Date.]]-Table13[[#This Row],[วันที่ใบขอรหัสจบ(ภายใน)]]</f>
        <v/>
      </c>
      <c r="AO40" s="35" t="n">
        <v>1</v>
      </c>
      <c r="AP40" s="35" t="n"/>
      <c r="AQ40" s="35" t="n">
        <v>1</v>
      </c>
      <c r="AR40" s="469" t="inlineStr">
        <is>
          <t>All Store</t>
        </is>
      </c>
      <c r="AS40" s="436" t="n">
        <v>0</v>
      </c>
      <c r="AT40" s="436" t="n"/>
      <c r="AU40" s="522" t="n">
        <v>39.89</v>
      </c>
      <c r="AV40" s="522" t="n">
        <v>39.89</v>
      </c>
      <c r="AW40" s="470" t="n"/>
      <c r="AX40" s="885" t="n">
        <v>52.95</v>
      </c>
      <c r="AY40" s="886" t="n">
        <v>50.93</v>
      </c>
      <c r="AZ40" s="470" t="n">
        <v>49.69</v>
      </c>
      <c r="BA40" s="470" t="n"/>
      <c r="BB40" s="470" t="n"/>
      <c r="BC40" s="887" t="n"/>
      <c r="BD40" s="470" t="n"/>
      <c r="BE40" s="470" t="n"/>
      <c r="BF40" s="470" t="n"/>
      <c r="BG40" s="469" t="n"/>
      <c r="BH40" s="469" t="n"/>
      <c r="BI40" s="470">
        <f>AVERAGE(AW40:BH40)</f>
        <v/>
      </c>
      <c r="BJ40" s="470">
        <f>BI40-AU40</f>
        <v/>
      </c>
      <c r="BK40" s="413" t="n"/>
      <c r="BL40" s="410" t="n"/>
      <c r="BM40" s="521" t="inlineStr">
        <is>
          <t>ไม่ระบุ nutrition บน aw</t>
        </is>
      </c>
      <c r="BN40" s="488" t="n"/>
      <c r="BO40" s="385" t="n"/>
      <c r="BP40" s="385" t="n"/>
      <c r="BQ40" s="385" t="n"/>
      <c r="BR40" s="385" t="n"/>
      <c r="BS40" s="385" t="n"/>
      <c r="BT40" s="441" t="n">
        <v>0</v>
      </c>
      <c r="BU40" s="441" t="n">
        <v>896459</v>
      </c>
      <c r="BV40" s="441" t="n">
        <v>2015552</v>
      </c>
      <c r="BW40" s="441" t="n">
        <v>1281865</v>
      </c>
      <c r="BX40" s="441" t="n"/>
      <c r="BY40" s="441" t="n"/>
      <c r="BZ40" s="441" t="n"/>
      <c r="CA40" s="441" t="n"/>
      <c r="CB40" s="441" t="n"/>
      <c r="CC40" s="441" t="n"/>
      <c r="CD40" s="441" t="n"/>
      <c r="CE40" s="441" t="n"/>
      <c r="CF40" s="880">
        <f>SUM(BT40:CE40)</f>
        <v/>
      </c>
    </row>
    <row r="41" ht="42" customFormat="1" customHeight="1" s="324">
      <c r="A41" s="464" t="n">
        <v>38</v>
      </c>
      <c r="B41" s="559" t="inlineStr">
        <is>
          <t>ติ่มซำ (นึ่ง)</t>
        </is>
      </c>
      <c r="C41" s="544" t="inlineStr">
        <is>
          <t>PMA24</t>
        </is>
      </c>
      <c r="D41" s="652" t="inlineStr">
        <is>
          <t>Q1</t>
        </is>
      </c>
      <c r="E41" s="571" t="inlineStr">
        <is>
          <t>Feb</t>
        </is>
      </c>
      <c r="F41" s="581" t="n">
        <v>90106013</v>
      </c>
      <c r="G41" s="615" t="inlineStr">
        <is>
          <t>ไก่นุ่มหน้ากุ้ง(ผสมหมู)EZYGO67g,7-11คัพ</t>
        </is>
      </c>
      <c r="H41" s="584" t="n">
        <v>2</v>
      </c>
      <c r="I41" s="560" t="n">
        <v>2</v>
      </c>
      <c r="J41" s="579" t="n">
        <v>0</v>
      </c>
      <c r="K41" s="465" t="n"/>
      <c r="L41" s="588" t="n">
        <v>100</v>
      </c>
      <c r="M41" s="589" t="n">
        <v>0</v>
      </c>
      <c r="N41" s="589" t="n">
        <v>1</v>
      </c>
      <c r="O41" s="589" t="n">
        <v>1</v>
      </c>
      <c r="P41" s="589" t="n"/>
      <c r="Q41" s="589" t="n"/>
      <c r="R41" s="589" t="n"/>
      <c r="S41" s="466" t="n"/>
      <c r="T41" s="525" t="n"/>
      <c r="U41" s="466" t="n">
        <v>1</v>
      </c>
      <c r="V41" s="466" t="n"/>
      <c r="W41" s="466" t="n"/>
      <c r="X41" s="466" t="n"/>
      <c r="Y41" s="466" t="n"/>
      <c r="Z41" s="532" t="n"/>
      <c r="AA41" s="394" t="n"/>
      <c r="AB41" s="394" t="n"/>
      <c r="AC41" s="510" t="n"/>
      <c r="AD41" s="467" t="n"/>
      <c r="AE41" s="467" t="n"/>
      <c r="AF41" s="467" t="n"/>
      <c r="AG41" s="467">
        <f>Table13[[#This Row],[วัน Pre-test 
run]]-Table13[[#This Row],[วันที่การตลาด
อนุมัติใบขอรหัส]]</f>
        <v/>
      </c>
      <c r="AH41" s="467" t="n"/>
      <c r="AI41" s="467">
        <f>Table13[[#This Row],[Lead 
time (วัน)]]-Table13[[#This Row],[จำนวนวัน
ที่รอ artwork (วัน)]]</f>
        <v/>
      </c>
      <c r="AJ41" s="468" t="n">
        <v>46006</v>
      </c>
      <c r="AK41" s="468" t="n">
        <v>46057</v>
      </c>
      <c r="AL41" s="435">
        <f>Table13[[#This Row],[Launch 
Date.]]-Table13[[#This Row],[วันที่การตลาดอนุมัติ
ใบขอรหัส.]]</f>
        <v/>
      </c>
      <c r="AM41" s="888" t="n">
        <v>46009</v>
      </c>
      <c r="AN41" s="435">
        <f>Table13[[#This Row],[Launch 
Date.]]-Table13[[#This Row],[วันที่ใบขอรหัสจบ(ภายใน)]]</f>
        <v/>
      </c>
      <c r="AO41" s="35" t="n">
        <v>1</v>
      </c>
      <c r="AP41" s="35" t="n"/>
      <c r="AQ41" s="35" t="n">
        <v>1</v>
      </c>
      <c r="AR41" s="469" t="inlineStr">
        <is>
          <t>All Store</t>
        </is>
      </c>
      <c r="AS41" s="436" t="n">
        <v>0</v>
      </c>
      <c r="AT41" s="436" t="n"/>
      <c r="AU41" s="522" t="n">
        <v>28.18</v>
      </c>
      <c r="AV41" s="522" t="n">
        <v>28.18</v>
      </c>
      <c r="AW41" s="470" t="n"/>
      <c r="AX41" s="885" t="n">
        <v>28.46</v>
      </c>
      <c r="AY41" s="886" t="n">
        <v>26.58</v>
      </c>
      <c r="AZ41" s="470" t="n">
        <v>23.24</v>
      </c>
      <c r="BA41" s="470" t="n"/>
      <c r="BB41" s="470" t="n"/>
      <c r="BC41" s="887" t="n"/>
      <c r="BD41" s="470" t="n"/>
      <c r="BE41" s="470" t="n"/>
      <c r="BF41" s="470" t="n"/>
      <c r="BG41" s="469" t="n"/>
      <c r="BH41" s="469" t="n"/>
      <c r="BI41" s="470">
        <f>AVERAGE(AW41:BH41)</f>
        <v/>
      </c>
      <c r="BJ41" s="470">
        <f>BI41-AU41</f>
        <v/>
      </c>
      <c r="BK41" s="413" t="n"/>
      <c r="BL41" s="410" t="n"/>
      <c r="BM41" s="521" t="inlineStr">
        <is>
          <t>ไม่ระบุ nutrition บน aw</t>
        </is>
      </c>
      <c r="BN41" s="488" t="n"/>
      <c r="BO41" s="385" t="n"/>
      <c r="BP41" s="385" t="n"/>
      <c r="BQ41" s="385" t="n"/>
      <c r="BR41" s="385" t="n"/>
      <c r="BS41" s="385" t="n"/>
      <c r="BT41" s="441" t="n">
        <v>0</v>
      </c>
      <c r="BU41" s="441" t="n">
        <v>3016074</v>
      </c>
      <c r="BV41" s="441" t="n">
        <v>1797353</v>
      </c>
      <c r="BW41" s="441" t="n">
        <v>778885</v>
      </c>
      <c r="BX41" s="441" t="n"/>
      <c r="BY41" s="441" t="n"/>
      <c r="BZ41" s="441" t="n"/>
      <c r="CA41" s="441" t="n"/>
      <c r="CB41" s="441" t="n"/>
      <c r="CC41" s="441" t="n"/>
      <c r="CD41" s="441" t="n"/>
      <c r="CE41" s="441" t="n"/>
      <c r="CF41" s="880">
        <f>SUM(BT41:CE41)</f>
        <v/>
      </c>
    </row>
    <row r="42" ht="42" customFormat="1" customHeight="1" s="324">
      <c r="A42" s="464" t="n">
        <v>39</v>
      </c>
      <c r="B42" s="559" t="inlineStr">
        <is>
          <t>ข้าวปั้น เครื่องเคียง</t>
        </is>
      </c>
      <c r="C42" s="544" t="inlineStr">
        <is>
          <t>PMA19</t>
        </is>
      </c>
      <c r="D42" s="652" t="inlineStr">
        <is>
          <t>Q1</t>
        </is>
      </c>
      <c r="E42" s="545" t="inlineStr">
        <is>
          <t>Feb</t>
        </is>
      </c>
      <c r="F42" s="545" t="n">
        <v>90138907</v>
      </c>
      <c r="G42" s="616" t="inlineStr">
        <is>
          <t>โอนิกิริไข่กุ้งมายองเนส 100 กรัม(LV2026)</t>
        </is>
      </c>
      <c r="H42" s="584" t="n">
        <v>1</v>
      </c>
      <c r="I42" s="560" t="inlineStr">
        <is>
          <t>ALL</t>
        </is>
      </c>
      <c r="J42" s="580" t="n">
        <v>0</v>
      </c>
      <c r="K42" s="465" t="n"/>
      <c r="L42" s="588" t="n">
        <v>100</v>
      </c>
      <c r="M42" s="589" t="n">
        <v>0</v>
      </c>
      <c r="N42" s="589" t="n">
        <v>1</v>
      </c>
      <c r="O42" s="589" t="n">
        <v>1</v>
      </c>
      <c r="P42" s="589" t="n"/>
      <c r="Q42" s="589" t="n"/>
      <c r="R42" s="589" t="n"/>
      <c r="S42" s="466" t="n"/>
      <c r="T42" s="394" t="n"/>
      <c r="U42" s="466" t="n">
        <v>1</v>
      </c>
      <c r="V42" s="466" t="n"/>
      <c r="W42" s="466" t="n"/>
      <c r="X42" s="466" t="n"/>
      <c r="Y42" s="466" t="n"/>
      <c r="Z42" s="532" t="n"/>
      <c r="AA42" s="394" t="n"/>
      <c r="AB42" s="394" t="n"/>
      <c r="AC42" s="510" t="n"/>
      <c r="AD42" s="511" t="n"/>
      <c r="AE42" s="467" t="n"/>
      <c r="AF42" s="467" t="n"/>
      <c r="AG42" s="467">
        <f>Table13[[#This Row],[วัน Pre-test 
run]]-Table13[[#This Row],[วันที่การตลาด
อนุมัติใบขอรหัส]]</f>
        <v/>
      </c>
      <c r="AH42" s="467" t="n"/>
      <c r="AI42" s="467">
        <f>Table13[[#This Row],[Lead 
time (วัน)]]-Table13[[#This Row],[จำนวนวัน
ที่รอ artwork (วัน)]]</f>
        <v/>
      </c>
      <c r="AJ42" s="468" t="n">
        <v>46037</v>
      </c>
      <c r="AK42" s="468" t="n">
        <v>46069</v>
      </c>
      <c r="AL42" s="435">
        <f>Table13[[#This Row],[Launch 
Date.]]-Table13[[#This Row],[วันที่การตลาดอนุมัติ
ใบขอรหัส.]]</f>
        <v/>
      </c>
      <c r="AM42" s="888" t="n">
        <v>46055</v>
      </c>
      <c r="AN42" s="435">
        <f>Table13[[#This Row],[Launch 
Date.]]-Table13[[#This Row],[วันที่ใบขอรหัสจบ(ภายใน)]]</f>
        <v/>
      </c>
      <c r="AO42" s="35" t="n"/>
      <c r="AP42" s="35" t="n">
        <v>1</v>
      </c>
      <c r="AQ42" s="35" t="n">
        <v>1</v>
      </c>
      <c r="AR42" s="469" t="inlineStr">
        <is>
          <t>All Store</t>
        </is>
      </c>
      <c r="AS42" s="436" t="n">
        <v>0</v>
      </c>
      <c r="AT42" s="436" t="n"/>
      <c r="AU42" s="436" t="n">
        <v>47.01</v>
      </c>
      <c r="AV42" s="436" t="n">
        <v>39.37</v>
      </c>
      <c r="AW42" s="470" t="n"/>
      <c r="AX42" s="885" t="n">
        <v>52.09</v>
      </c>
      <c r="AY42" s="886" t="n">
        <v>51.76</v>
      </c>
      <c r="AZ42" s="470" t="n">
        <v>50.64</v>
      </c>
      <c r="BA42" s="470" t="n"/>
      <c r="BB42" s="470" t="n"/>
      <c r="BC42" s="887" t="n"/>
      <c r="BD42" s="470" t="n"/>
      <c r="BE42" s="470" t="n"/>
      <c r="BF42" s="470" t="n"/>
      <c r="BG42" s="469" t="n"/>
      <c r="BH42" s="469" t="n"/>
      <c r="BI42" s="470">
        <f>AVERAGE(AW42:BH42)</f>
        <v/>
      </c>
      <c r="BJ42" s="470">
        <f>BI42-AU42</f>
        <v/>
      </c>
      <c r="BK42" s="413" t="n"/>
      <c r="BL42" s="410" t="n"/>
      <c r="BM42" s="521" t="inlineStr">
        <is>
          <t>ไม่ระบุ nutrition บน aw</t>
        </is>
      </c>
      <c r="BN42" s="488" t="n"/>
      <c r="BO42" s="385" t="n"/>
      <c r="BP42" s="385" t="n"/>
      <c r="BQ42" s="385" t="n"/>
      <c r="BR42" s="385" t="n"/>
      <c r="BS42" s="385" t="n"/>
      <c r="BT42" s="441" t="n">
        <v>0</v>
      </c>
      <c r="BU42" s="441" t="n">
        <v>12169381</v>
      </c>
      <c r="BV42" s="441" t="n">
        <v>29670444</v>
      </c>
      <c r="BW42" s="629" t="n">
        <v>29722494</v>
      </c>
      <c r="BX42" s="441" t="n"/>
      <c r="BY42" s="441" t="n"/>
      <c r="BZ42" s="441" t="n"/>
      <c r="CA42" s="441" t="n"/>
      <c r="CB42" s="441" t="n"/>
      <c r="CC42" s="441" t="n"/>
      <c r="CD42" s="441" t="n"/>
      <c r="CE42" s="441" t="n"/>
      <c r="CF42" s="880">
        <f>SUM(BT42:CE42)</f>
        <v/>
      </c>
    </row>
    <row r="43" ht="42" customFormat="1" customHeight="1" s="324">
      <c r="A43" s="464" t="n">
        <v>40</v>
      </c>
      <c r="B43" s="559" t="inlineStr">
        <is>
          <t>ติ่มซำ (นึ่ง)</t>
        </is>
      </c>
      <c r="C43" s="464" t="inlineStr">
        <is>
          <t>Export</t>
        </is>
      </c>
      <c r="D43" s="652" t="inlineStr">
        <is>
          <t>Q1</t>
        </is>
      </c>
      <c r="E43" s="464" t="inlineStr">
        <is>
          <t>Feb</t>
        </is>
      </c>
      <c r="F43" s="464" t="n">
        <v>90140505</v>
      </c>
      <c r="G43" s="611" t="inlineStr">
        <is>
          <t>Frozen Fully Steamed Gochujang Chicken Bun</t>
        </is>
      </c>
      <c r="H43" s="584" t="n">
        <v>1</v>
      </c>
      <c r="I43" s="560" t="n">
        <v>2</v>
      </c>
      <c r="J43" s="580" t="n">
        <v>0</v>
      </c>
      <c r="K43" s="465" t="n"/>
      <c r="L43" s="588" t="n">
        <v>100</v>
      </c>
      <c r="M43" s="589" t="n">
        <v>0</v>
      </c>
      <c r="N43" s="589" t="n">
        <v>1</v>
      </c>
      <c r="O43" s="589" t="n">
        <v>1</v>
      </c>
      <c r="P43" s="589" t="n"/>
      <c r="Q43" s="589" t="n"/>
      <c r="R43" s="589" t="n"/>
      <c r="S43" s="466" t="n"/>
      <c r="T43" s="525" t="n"/>
      <c r="U43" s="466" t="n">
        <v>1</v>
      </c>
      <c r="V43" s="466" t="n"/>
      <c r="W43" s="466" t="n"/>
      <c r="X43" s="466" t="n"/>
      <c r="Y43" s="466" t="n"/>
      <c r="Z43" s="532" t="n"/>
      <c r="AA43" s="394" t="n"/>
      <c r="AB43" s="394" t="n"/>
      <c r="AC43" s="510" t="n">
        <v>46057</v>
      </c>
      <c r="AD43" s="510" t="n">
        <v>45933</v>
      </c>
      <c r="AE43" s="510" t="n">
        <v>45936</v>
      </c>
      <c r="AF43" s="510" t="n">
        <v>46029</v>
      </c>
      <c r="AG43" s="467">
        <f>Table13[[#This Row],[วัน Pre-test 
run]]-Table13[[#This Row],[วันที่การตลาด
อนุมัติใบขอรหัส]]</f>
        <v/>
      </c>
      <c r="AH43" s="467" t="n">
        <v>54</v>
      </c>
      <c r="AI43" s="467">
        <f>Table13[[#This Row],[Lead 
time (วัน)]]-Table13[[#This Row],[จำนวนวัน
ที่รอ artwork (วัน)]]</f>
        <v/>
      </c>
      <c r="AJ43" s="468" t="n"/>
      <c r="AK43" s="468" t="n"/>
      <c r="AL43" s="435" t="n"/>
      <c r="AM43" s="888" t="n"/>
      <c r="AN43" s="435" t="n"/>
      <c r="AO43" s="35" t="n">
        <v>1</v>
      </c>
      <c r="AP43" s="35" t="n"/>
      <c r="AQ43" s="35" t="n">
        <v>1</v>
      </c>
      <c r="AR43" s="469" t="inlineStr">
        <is>
          <t>ต่างประเทศ</t>
        </is>
      </c>
      <c r="AS43" s="436" t="n">
        <v>0</v>
      </c>
      <c r="AT43" s="436" t="n"/>
      <c r="AU43" s="436" t="n">
        <v>55.84</v>
      </c>
      <c r="AV43" s="436" t="n">
        <v>55.84</v>
      </c>
      <c r="AW43" s="470" t="n"/>
      <c r="AX43" s="885" t="n">
        <v>62</v>
      </c>
      <c r="AY43" s="886" t="n"/>
      <c r="AZ43" s="470" t="n"/>
      <c r="BA43" s="470" t="n"/>
      <c r="BB43" s="470" t="n"/>
      <c r="BC43" s="887" t="n"/>
      <c r="BD43" s="470" t="n"/>
      <c r="BE43" s="470" t="n"/>
      <c r="BF43" s="470" t="n"/>
      <c r="BG43" s="469" t="n"/>
      <c r="BH43" s="469" t="n"/>
      <c r="BI43" s="470">
        <f>AVERAGE(AW43:BH43)</f>
        <v/>
      </c>
      <c r="BJ43" s="470">
        <f>BI43-AU43</f>
        <v/>
      </c>
      <c r="BK43" s="413" t="n"/>
      <c r="BL43" s="410" t="n"/>
      <c r="BM43" s="521" t="inlineStr">
        <is>
          <t>ไม่ระบุ nutrition บน aw</t>
        </is>
      </c>
      <c r="BN43" s="488" t="n"/>
      <c r="BO43" s="385" t="n"/>
      <c r="BP43" s="385" t="n"/>
      <c r="BQ43" s="385" t="n"/>
      <c r="BR43" s="385" t="n"/>
      <c r="BS43" s="385" t="n"/>
      <c r="BT43" s="441" t="n">
        <v>0</v>
      </c>
      <c r="BU43" s="441" t="n">
        <v>3235200</v>
      </c>
      <c r="BV43" s="441" t="n">
        <v>0</v>
      </c>
      <c r="BW43" s="630" t="n">
        <v>0</v>
      </c>
      <c r="BX43" s="441" t="n"/>
      <c r="BY43" s="441" t="n"/>
      <c r="BZ43" s="441" t="n"/>
      <c r="CA43" s="441" t="n"/>
      <c r="CB43" s="441" t="n"/>
      <c r="CC43" s="441" t="n"/>
      <c r="CD43" s="441" t="n"/>
      <c r="CE43" s="441" t="n"/>
      <c r="CF43" s="880">
        <f>SUM(BT43:CE43)</f>
        <v/>
      </c>
    </row>
    <row r="44" ht="42" customFormat="1" customHeight="1" s="324">
      <c r="A44" s="464" t="n">
        <v>41</v>
      </c>
      <c r="B44" s="559" t="inlineStr">
        <is>
          <t>ติ่มซำ (นึ่ง)</t>
        </is>
      </c>
      <c r="C44" s="464" t="inlineStr">
        <is>
          <t>Export</t>
        </is>
      </c>
      <c r="D44" s="652" t="inlineStr">
        <is>
          <t>Q1</t>
        </is>
      </c>
      <c r="E44" s="464" t="inlineStr">
        <is>
          <t>Feb</t>
        </is>
      </c>
      <c r="F44" s="464" t="n">
        <v>90140506</v>
      </c>
      <c r="G44" s="611" t="inlineStr">
        <is>
          <t>Frozen Fully Steamed Chicken Gyoza</t>
        </is>
      </c>
      <c r="H44" s="584" t="n">
        <v>1</v>
      </c>
      <c r="I44" s="560" t="n">
        <v>2</v>
      </c>
      <c r="J44" s="580" t="n">
        <v>0</v>
      </c>
      <c r="K44" s="465" t="n"/>
      <c r="L44" s="588" t="n">
        <v>100</v>
      </c>
      <c r="M44" s="589" t="n">
        <v>0</v>
      </c>
      <c r="N44" s="589" t="n">
        <v>1</v>
      </c>
      <c r="O44" s="589" t="n">
        <v>1</v>
      </c>
      <c r="P44" s="589" t="n"/>
      <c r="Q44" s="589" t="n"/>
      <c r="R44" s="589" t="n"/>
      <c r="S44" s="466" t="n"/>
      <c r="T44" s="525" t="n"/>
      <c r="U44" s="466" t="n">
        <v>1</v>
      </c>
      <c r="V44" s="466" t="n"/>
      <c r="W44" s="466" t="n"/>
      <c r="X44" s="466" t="n"/>
      <c r="Y44" s="466" t="n"/>
      <c r="Z44" s="532" t="n"/>
      <c r="AA44" s="394" t="n"/>
      <c r="AB44" s="394" t="n"/>
      <c r="AC44" s="510" t="n">
        <v>46057</v>
      </c>
      <c r="AD44" s="510" t="n">
        <v>45933</v>
      </c>
      <c r="AE44" s="510" t="n">
        <v>45936</v>
      </c>
      <c r="AF44" s="510" t="n">
        <v>46028</v>
      </c>
      <c r="AG44" s="467">
        <f>Table13[[#This Row],[วัน Pre-test 
run]]-Table13[[#This Row],[วันที่การตลาด
อนุมัติใบขอรหัส]]</f>
        <v/>
      </c>
      <c r="AH44" s="467" t="n">
        <v>54</v>
      </c>
      <c r="AI44" s="467">
        <f>Table13[[#This Row],[Lead 
time (วัน)]]-Table13[[#This Row],[จำนวนวัน
ที่รอ artwork (วัน)]]</f>
        <v/>
      </c>
      <c r="AJ44" s="468" t="n"/>
      <c r="AK44" s="468" t="n"/>
      <c r="AL44" s="435" t="n"/>
      <c r="AM44" s="888" t="n"/>
      <c r="AN44" s="435" t="n"/>
      <c r="AO44" s="35" t="n">
        <v>1</v>
      </c>
      <c r="AP44" s="35" t="n"/>
      <c r="AQ44" s="35" t="n">
        <v>1</v>
      </c>
      <c r="AR44" s="469" t="inlineStr">
        <is>
          <t>ต่างประเทศ</t>
        </is>
      </c>
      <c r="AS44" s="436" t="n">
        <v>1</v>
      </c>
      <c r="AT44" s="672" t="inlineStr">
        <is>
          <t>ราคาขายต่ำกว่าใบขอรหัส และราคา PKG LB สูงกว่าใบขอรหัส</t>
        </is>
      </c>
      <c r="AU44" s="436" t="n">
        <v>57.69</v>
      </c>
      <c r="AV44" s="436" t="n">
        <v>57.69</v>
      </c>
      <c r="AW44" s="470" t="n"/>
      <c r="AX44" s="885" t="n">
        <v>51.43</v>
      </c>
      <c r="AY44" s="886" t="n"/>
      <c r="AZ44" s="470" t="n"/>
      <c r="BA44" s="470" t="n"/>
      <c r="BB44" s="470" t="n"/>
      <c r="BC44" s="887" t="n"/>
      <c r="BD44" s="470" t="n"/>
      <c r="BE44" s="470" t="n"/>
      <c r="BF44" s="470" t="n"/>
      <c r="BG44" s="469" t="n"/>
      <c r="BH44" s="469" t="n"/>
      <c r="BI44" s="470">
        <f>AVERAGE(AW44:BH44)</f>
        <v/>
      </c>
      <c r="BJ44" s="470">
        <f>BI44-AU44</f>
        <v/>
      </c>
      <c r="BK44" s="413" t="n"/>
      <c r="BL44" s="410" t="n"/>
      <c r="BM44" s="521" t="inlineStr">
        <is>
          <t>ไม่ระบุ nutrition บน aw</t>
        </is>
      </c>
      <c r="BN44" s="488" t="n"/>
      <c r="BO44" s="385" t="n"/>
      <c r="BP44" s="385" t="n"/>
      <c r="BQ44" s="385" t="n"/>
      <c r="BR44" s="385" t="n"/>
      <c r="BS44" s="385" t="n"/>
      <c r="BT44" s="441" t="n">
        <v>0</v>
      </c>
      <c r="BU44" s="441" t="n">
        <v>1290914</v>
      </c>
      <c r="BV44" s="441" t="n">
        <v>0</v>
      </c>
      <c r="BW44" s="626" t="n">
        <v>0</v>
      </c>
      <c r="BX44" s="441" t="n"/>
      <c r="BY44" s="441" t="n"/>
      <c r="BZ44" s="441" t="n"/>
      <c r="CA44" s="441" t="n"/>
      <c r="CB44" s="441" t="n"/>
      <c r="CC44" s="441" t="n"/>
      <c r="CD44" s="441" t="n"/>
      <c r="CE44" s="441" t="n"/>
      <c r="CF44" s="880">
        <f>SUM(BT44:CE44)</f>
        <v/>
      </c>
    </row>
    <row r="45" ht="42" customFormat="1" customHeight="1" s="324">
      <c r="A45" s="464" t="n">
        <v>42</v>
      </c>
      <c r="B45" s="559" t="inlineStr">
        <is>
          <t>ข้าวและกับข้าว</t>
        </is>
      </c>
      <c r="C45" s="464" t="inlineStr">
        <is>
          <t>PMA20</t>
        </is>
      </c>
      <c r="D45" s="652" t="inlineStr">
        <is>
          <t>Q1</t>
        </is>
      </c>
      <c r="E45" s="464" t="inlineStr">
        <is>
          <t>Mar</t>
        </is>
      </c>
      <c r="F45" s="464" t="n">
        <v>90139668</v>
      </c>
      <c r="G45" s="611" t="inlineStr">
        <is>
          <t>ข้าวกะเพรามังสวิรัติ 210 G IMP2026 CHB</t>
        </is>
      </c>
      <c r="H45" s="584" t="n">
        <v>1</v>
      </c>
      <c r="I45" s="560" t="inlineStr">
        <is>
          <t>CHB</t>
        </is>
      </c>
      <c r="J45" s="560" t="n">
        <v>1</v>
      </c>
      <c r="K45" s="625" t="inlineStr">
        <is>
          <t>แผนขายเดิม 21/10/2025 แผนขายใหม่ 26/2/2026 เนื่องจากลูกค้าเลื่อนขายให้ตรงกับวันมาฆบูชา</t>
        </is>
      </c>
      <c r="L45" s="588" t="n">
        <v>100</v>
      </c>
      <c r="M45" s="589" t="n">
        <v>0</v>
      </c>
      <c r="N45" s="589" t="n">
        <v>1</v>
      </c>
      <c r="O45" s="589" t="n">
        <v>1</v>
      </c>
      <c r="P45" s="589" t="n"/>
      <c r="Q45" s="589" t="n"/>
      <c r="R45" s="589" t="n"/>
      <c r="S45" s="466" t="n"/>
      <c r="T45" s="525" t="n"/>
      <c r="U45" s="466" t="n">
        <v>1</v>
      </c>
      <c r="V45" s="466" t="n"/>
      <c r="W45" s="466" t="n"/>
      <c r="X45" s="466" t="n"/>
      <c r="Y45" s="466" t="n"/>
      <c r="Z45" s="532" t="n"/>
      <c r="AA45" s="394" t="n"/>
      <c r="AB45" s="394" t="n"/>
      <c r="AC45" s="510" t="n"/>
      <c r="AD45" s="467" t="n"/>
      <c r="AE45" s="510" t="n"/>
      <c r="AF45" s="467" t="n"/>
      <c r="AG45" s="467">
        <f>Table13[[#This Row],[วัน Pre-test 
run]]-Table13[[#This Row],[วันที่การตลาด
อนุมัติใบขอรหัส]]</f>
        <v/>
      </c>
      <c r="AH45" s="467" t="n"/>
      <c r="AI45" s="467">
        <f>Table13[[#This Row],[Lead 
time (วัน)]]-Table13[[#This Row],[จำนวนวัน
ที่รอ artwork (วัน)]]</f>
        <v/>
      </c>
      <c r="AJ45" s="468" t="n">
        <v>45894</v>
      </c>
      <c r="AK45" s="468" t="n">
        <v>45951</v>
      </c>
      <c r="AL45" s="435">
        <f>Table13[[#This Row],[Launch 
Date.]]-Table13[[#This Row],[วันที่การตลาดอนุมัติ
ใบขอรหัส.]]</f>
        <v/>
      </c>
      <c r="AM45" s="888" t="n">
        <v>45898</v>
      </c>
      <c r="AN45" s="435">
        <f>Table13[[#This Row],[Launch 
Date.]]-Table13[[#This Row],[วันที่ใบขอรหัสจบ(ภายใน)]]</f>
        <v/>
      </c>
      <c r="AO45" s="35" t="n"/>
      <c r="AP45" s="35" t="n">
        <v>1</v>
      </c>
      <c r="AQ45" s="35" t="n">
        <v>1</v>
      </c>
      <c r="AR45" s="469" t="inlineStr">
        <is>
          <t>All Store</t>
        </is>
      </c>
      <c r="AS45" s="436" t="n">
        <v>0</v>
      </c>
      <c r="AT45" s="436" t="n"/>
      <c r="AU45" s="436" t="n">
        <v>35.45</v>
      </c>
      <c r="AV45" s="436" t="n">
        <v>35.45</v>
      </c>
      <c r="AW45" s="470" t="n"/>
      <c r="AX45" s="885" t="n"/>
      <c r="AY45" s="886" t="n">
        <v>35.51</v>
      </c>
      <c r="AZ45" s="470" t="n">
        <v>34.14</v>
      </c>
      <c r="BA45" s="470" t="n"/>
      <c r="BB45" s="470" t="n"/>
      <c r="BC45" s="887" t="n"/>
      <c r="BD45" s="470" t="n"/>
      <c r="BE45" s="470" t="n"/>
      <c r="BF45" s="470" t="n"/>
      <c r="BG45" s="469" t="n"/>
      <c r="BH45" s="469" t="n"/>
      <c r="BI45" s="470">
        <f>AVERAGE(AW45:BH45)</f>
        <v/>
      </c>
      <c r="BJ45" s="470">
        <f>BI45-AU45</f>
        <v/>
      </c>
      <c r="BK45" s="413" t="n"/>
      <c r="BL45" s="410" t="n"/>
      <c r="BM45" s="474" t="n">
        <v>920</v>
      </c>
      <c r="BN45" s="486" t="n">
        <v>1</v>
      </c>
      <c r="BO45" s="385" t="n"/>
      <c r="BP45" s="385" t="n"/>
      <c r="BQ45" s="385" t="n"/>
      <c r="BR45" s="385" t="n"/>
      <c r="BS45" s="385" t="n"/>
      <c r="BT45" s="441" t="n">
        <v>0</v>
      </c>
      <c r="BU45" s="441" t="n">
        <v>0</v>
      </c>
      <c r="BV45" s="441" t="n">
        <v>4619790</v>
      </c>
      <c r="BW45" s="441" t="n">
        <v>6089509</v>
      </c>
      <c r="BX45" s="441" t="n"/>
      <c r="BY45" s="441" t="n"/>
      <c r="BZ45" s="441" t="n"/>
      <c r="CA45" s="441" t="n"/>
      <c r="CB45" s="441" t="n"/>
      <c r="CC45" s="441" t="n"/>
      <c r="CD45" s="441" t="n"/>
      <c r="CE45" s="441" t="n"/>
      <c r="CF45" s="880">
        <f>SUM(BT45:CE45)</f>
        <v/>
      </c>
    </row>
    <row r="46" ht="42" customFormat="1" customHeight="1" s="324">
      <c r="A46" s="464" t="n">
        <v>43</v>
      </c>
      <c r="B46" s="559" t="inlineStr">
        <is>
          <t>ข้าวปั้น เครื่องเคียง</t>
        </is>
      </c>
      <c r="C46" s="544" t="inlineStr">
        <is>
          <t>PMA19</t>
        </is>
      </c>
      <c r="D46" s="652" t="inlineStr">
        <is>
          <t>Q1</t>
        </is>
      </c>
      <c r="E46" s="545" t="inlineStr">
        <is>
          <t>Mar</t>
        </is>
      </c>
      <c r="F46" s="464" t="n">
        <v>90138908</v>
      </c>
      <c r="G46" s="611" t="inlineStr">
        <is>
          <t>แคลิฟอร์เนียโรล 105 กรัม LV2026, Chilled</t>
        </is>
      </c>
      <c r="H46" s="584" t="n">
        <v>2</v>
      </c>
      <c r="I46" s="560" t="inlineStr">
        <is>
          <t>ALL</t>
        </is>
      </c>
      <c r="J46" s="580" t="n">
        <v>0</v>
      </c>
      <c r="K46" s="465" t="n"/>
      <c r="L46" s="588" t="n">
        <v>95</v>
      </c>
      <c r="M46" s="589" t="n">
        <v>0</v>
      </c>
      <c r="N46" s="589" t="n">
        <v>1</v>
      </c>
      <c r="O46" s="589" t="n"/>
      <c r="P46" s="589" t="n">
        <v>1</v>
      </c>
      <c r="Q46" s="589" t="n"/>
      <c r="R46" s="589" t="n"/>
      <c r="S46" s="466" t="n"/>
      <c r="T46" s="525" t="n"/>
      <c r="U46" s="466" t="n">
        <v>1</v>
      </c>
      <c r="V46" s="466" t="n"/>
      <c r="W46" s="466" t="n"/>
      <c r="X46" s="466" t="n"/>
      <c r="Y46" s="466" t="n"/>
      <c r="Z46" s="532" t="n"/>
      <c r="AA46" s="394" t="n"/>
      <c r="AB46" s="394" t="n"/>
      <c r="AC46" s="510" t="n"/>
      <c r="AD46" s="467" t="n"/>
      <c r="AE46" s="467" t="n"/>
      <c r="AF46" s="467" t="n"/>
      <c r="AG46" s="467">
        <f>Table13[[#This Row],[วัน Pre-test 
run]]-Table13[[#This Row],[วันที่การตลาด
อนุมัติใบขอรหัส]]</f>
        <v/>
      </c>
      <c r="AH46" s="467" t="n"/>
      <c r="AI46" s="467">
        <f>Table13[[#This Row],[Lead 
time (วัน)]]-Table13[[#This Row],[จำนวนวัน
ที่รอ artwork (วัน)]]</f>
        <v/>
      </c>
      <c r="AJ46" s="468" t="n">
        <v>46062</v>
      </c>
      <c r="AK46" s="468" t="n">
        <v>46093</v>
      </c>
      <c r="AL46" s="435">
        <f>Table13[[#This Row],[Launch 
Date.]]-Table13[[#This Row],[วันที่การตลาดอนุมัติ
ใบขอรหัส.]]</f>
        <v/>
      </c>
      <c r="AM46" s="888" t="n">
        <v>46078</v>
      </c>
      <c r="AN46" s="435">
        <f>Table13[[#This Row],[Launch 
Date.]]-Table13[[#This Row],[วันที่ใบขอรหัสจบ(ภายใน)]]</f>
        <v/>
      </c>
      <c r="AO46" s="35" t="n"/>
      <c r="AP46" s="35" t="n">
        <v>1</v>
      </c>
      <c r="AQ46" s="35" t="n">
        <v>1</v>
      </c>
      <c r="AR46" s="469" t="inlineStr">
        <is>
          <t>All Store</t>
        </is>
      </c>
      <c r="AS46" s="436" t="n">
        <v>0</v>
      </c>
      <c r="AT46" s="436" t="n"/>
      <c r="AU46" s="436" t="n">
        <v>31.92</v>
      </c>
      <c r="AV46" s="436" t="n">
        <v>25.26</v>
      </c>
      <c r="AW46" s="470" t="n"/>
      <c r="AX46" s="885" t="n"/>
      <c r="AY46" s="886" t="n">
        <v>33.18</v>
      </c>
      <c r="AZ46" s="470" t="n">
        <v>31.7</v>
      </c>
      <c r="BA46" s="470" t="n"/>
      <c r="BB46" s="470" t="n"/>
      <c r="BC46" s="887" t="n"/>
      <c r="BD46" s="470" t="n"/>
      <c r="BE46" s="470" t="n"/>
      <c r="BF46" s="470" t="n"/>
      <c r="BG46" s="469" t="n"/>
      <c r="BH46" s="469" t="n"/>
      <c r="BI46" s="470">
        <f>AVERAGE(AW46:BH46)</f>
        <v/>
      </c>
      <c r="BJ46" s="470">
        <f>BI46-AU46</f>
        <v/>
      </c>
      <c r="BK46" s="413" t="n"/>
      <c r="BL46" s="410" t="n"/>
      <c r="BM46" s="521" t="inlineStr">
        <is>
          <t>ไม่ระบุ nutrition บน aw</t>
        </is>
      </c>
      <c r="BN46" s="488" t="n"/>
      <c r="BO46" s="385" t="n"/>
      <c r="BP46" s="385" t="n"/>
      <c r="BQ46" s="385" t="n"/>
      <c r="BR46" s="385" t="n"/>
      <c r="BS46" s="385" t="n"/>
      <c r="BT46" s="441" t="n">
        <v>0</v>
      </c>
      <c r="BU46" s="441" t="n">
        <v>0</v>
      </c>
      <c r="BV46" s="441" t="n">
        <v>5949100</v>
      </c>
      <c r="BW46" s="629" t="n">
        <v>9320202</v>
      </c>
      <c r="BX46" s="441" t="n"/>
      <c r="BY46" s="441" t="n"/>
      <c r="BZ46" s="441" t="n"/>
      <c r="CA46" s="441" t="n"/>
      <c r="CB46" s="441" t="n"/>
      <c r="CC46" s="441" t="n"/>
      <c r="CD46" s="441" t="n"/>
      <c r="CE46" s="441" t="n"/>
      <c r="CF46" s="880">
        <f>SUM(BT46:CE46)</f>
        <v/>
      </c>
    </row>
    <row r="47" ht="42" customFormat="1" customHeight="1" s="324">
      <c r="A47" s="464" t="n">
        <v>44</v>
      </c>
      <c r="B47" s="559" t="inlineStr">
        <is>
          <t>ข้าวปั้น เครื่องเคียง</t>
        </is>
      </c>
      <c r="C47" s="544" t="inlineStr">
        <is>
          <t>PMA19</t>
        </is>
      </c>
      <c r="D47" s="652" t="inlineStr">
        <is>
          <t>Q1</t>
        </is>
      </c>
      <c r="E47" s="545" t="inlineStr">
        <is>
          <t>Mar</t>
        </is>
      </c>
      <c r="F47" s="464" t="n">
        <v>90138909</v>
      </c>
      <c r="G47" s="611" t="inlineStr">
        <is>
          <t>ซูชิเซ็ท 155 กรัม LV2026, Chilled</t>
        </is>
      </c>
      <c r="H47" s="584" t="n">
        <v>2</v>
      </c>
      <c r="I47" s="560" t="inlineStr">
        <is>
          <t>ALL</t>
        </is>
      </c>
      <c r="J47" s="580" t="n">
        <v>0</v>
      </c>
      <c r="K47" s="465" t="n"/>
      <c r="L47" s="588" t="n">
        <v>100</v>
      </c>
      <c r="M47" s="589" t="n">
        <v>0</v>
      </c>
      <c r="N47" s="589" t="n">
        <v>1</v>
      </c>
      <c r="O47" s="589" t="n">
        <v>1</v>
      </c>
      <c r="P47" s="589" t="n"/>
      <c r="Q47" s="589" t="n"/>
      <c r="R47" s="589" t="n"/>
      <c r="S47" s="466" t="n"/>
      <c r="T47" s="525" t="n"/>
      <c r="U47" s="466" t="n">
        <v>1</v>
      </c>
      <c r="V47" s="466" t="n"/>
      <c r="W47" s="466" t="n"/>
      <c r="X47" s="466" t="n"/>
      <c r="Y47" s="466" t="n"/>
      <c r="Z47" s="532" t="n"/>
      <c r="AA47" s="394" t="n"/>
      <c r="AB47" s="394" t="n"/>
      <c r="AC47" s="510" t="n"/>
      <c r="AD47" s="467" t="n"/>
      <c r="AE47" s="467" t="n"/>
      <c r="AF47" s="467" t="n"/>
      <c r="AG47" s="467">
        <f>Table13[[#This Row],[วัน Pre-test 
run]]-Table13[[#This Row],[วันที่การตลาด
อนุมัติใบขอรหัส]]</f>
        <v/>
      </c>
      <c r="AH47" s="467" t="n"/>
      <c r="AI47" s="467">
        <f>Table13[[#This Row],[Lead 
time (วัน)]]-Table13[[#This Row],[จำนวนวัน
ที่รอ artwork (วัน)]]</f>
        <v/>
      </c>
      <c r="AJ47" s="468" t="n">
        <v>46083</v>
      </c>
      <c r="AK47" s="468" t="n">
        <v>46104</v>
      </c>
      <c r="AL47" s="435">
        <f>Table13[[#This Row],[Launch 
Date.]]-Table13[[#This Row],[วันที่การตลาดอนุมัติ
ใบขอรหัส.]]</f>
        <v/>
      </c>
      <c r="AM47" s="888" t="n">
        <v>46098</v>
      </c>
      <c r="AN47" s="435">
        <f>Table13[[#This Row],[Launch 
Date.]]-Table13[[#This Row],[วันที่ใบขอรหัสจบ(ภายใน)]]</f>
        <v/>
      </c>
      <c r="AO47" s="35" t="n"/>
      <c r="AP47" s="35" t="n">
        <v>1</v>
      </c>
      <c r="AQ47" s="35" t="n">
        <v>1</v>
      </c>
      <c r="AR47" s="469" t="inlineStr">
        <is>
          <t>All Store</t>
        </is>
      </c>
      <c r="AS47" s="436" t="n">
        <v>0</v>
      </c>
      <c r="AT47" s="436" t="n"/>
      <c r="AU47" s="436" t="n">
        <v>28.6</v>
      </c>
      <c r="AV47" s="436" t="n">
        <v>22.17</v>
      </c>
      <c r="AW47" s="470" t="n"/>
      <c r="AX47" s="885" t="n"/>
      <c r="AY47" s="886" t="n">
        <v>31.71</v>
      </c>
      <c r="AZ47" s="470" t="n">
        <v>32.82</v>
      </c>
      <c r="BA47" s="470" t="n"/>
      <c r="BB47" s="470" t="n"/>
      <c r="BC47" s="887" t="n"/>
      <c r="BD47" s="470" t="n"/>
      <c r="BE47" s="470" t="n"/>
      <c r="BF47" s="470" t="n"/>
      <c r="BG47" s="469" t="n"/>
      <c r="BH47" s="469" t="n"/>
      <c r="BI47" s="470">
        <f>AVERAGE(AW47:BH47)</f>
        <v/>
      </c>
      <c r="BJ47" s="470">
        <f>BI47-AU47</f>
        <v/>
      </c>
      <c r="BK47" s="413" t="n"/>
      <c r="BL47" s="410" t="n"/>
      <c r="BM47" s="521" t="inlineStr">
        <is>
          <t>ไม่ระบุ nutrition บน aw</t>
        </is>
      </c>
      <c r="BN47" s="488" t="n"/>
      <c r="BO47" s="385" t="n"/>
      <c r="BP47" s="385" t="n"/>
      <c r="BQ47" s="385" t="n"/>
      <c r="BR47" s="385" t="n"/>
      <c r="BS47" s="385" t="n"/>
      <c r="BT47" s="441" t="n">
        <v>0</v>
      </c>
      <c r="BU47" s="441" t="n">
        <v>0</v>
      </c>
      <c r="BV47" s="441" t="n">
        <v>3672908</v>
      </c>
      <c r="BW47" s="631" t="n">
        <v>13096653</v>
      </c>
      <c r="BX47" s="441" t="n"/>
      <c r="BY47" s="441" t="n"/>
      <c r="BZ47" s="441" t="n"/>
      <c r="CA47" s="441" t="n"/>
      <c r="CB47" s="441" t="n"/>
      <c r="CC47" s="441" t="n"/>
      <c r="CD47" s="441" t="n"/>
      <c r="CE47" s="441" t="n"/>
      <c r="CF47" s="880">
        <f>SUM(BT47:CE47)</f>
        <v/>
      </c>
    </row>
    <row r="48" ht="42" customFormat="1" customHeight="1" s="324">
      <c r="A48" s="464" t="n">
        <v>45</v>
      </c>
      <c r="B48" s="559" t="inlineStr">
        <is>
          <t>ติ่มซำ (นึ่ง)</t>
        </is>
      </c>
      <c r="C48" s="544" t="inlineStr">
        <is>
          <t>PMA24</t>
        </is>
      </c>
      <c r="D48" s="652" t="inlineStr">
        <is>
          <t>Q1</t>
        </is>
      </c>
      <c r="E48" s="545" t="inlineStr">
        <is>
          <t>Mar</t>
        </is>
      </c>
      <c r="F48" s="559" t="n">
        <v>90101430</v>
      </c>
      <c r="G48" s="611" t="inlineStr">
        <is>
          <t>ขนมจีบกุ้งและขนมจีบหมูไข่เค็มEZYGO112g</t>
        </is>
      </c>
      <c r="H48" s="584" t="n">
        <v>1</v>
      </c>
      <c r="I48" s="560" t="n">
        <v>2</v>
      </c>
      <c r="J48" s="580" t="n">
        <v>0</v>
      </c>
      <c r="K48" s="465" t="n"/>
      <c r="L48" s="589" t="n">
        <v>100</v>
      </c>
      <c r="M48" s="589" t="n">
        <v>0</v>
      </c>
      <c r="N48" s="589" t="n">
        <v>1</v>
      </c>
      <c r="O48" s="589" t="n">
        <v>1</v>
      </c>
      <c r="P48" s="589" t="n"/>
      <c r="Q48" s="589" t="n"/>
      <c r="R48" s="589" t="n"/>
      <c r="S48" s="466" t="n"/>
      <c r="T48" s="525" t="n"/>
      <c r="U48" s="466" t="n">
        <v>1</v>
      </c>
      <c r="V48" s="466" t="n"/>
      <c r="W48" s="466" t="n"/>
      <c r="X48" s="466" t="n"/>
      <c r="Y48" s="466" t="n"/>
      <c r="Z48" s="532" t="n"/>
      <c r="AA48" s="394" t="n"/>
      <c r="AB48" s="394" t="n"/>
      <c r="AC48" s="510" t="n"/>
      <c r="AD48" s="467" t="n"/>
      <c r="AE48" s="467" t="n"/>
      <c r="AF48" s="467" t="n"/>
      <c r="AG48" s="467">
        <f>Table13[[#This Row],[วัน Pre-test 
run]]-Table13[[#This Row],[วันที่การตลาด
อนุมัติใบขอรหัส]]</f>
        <v/>
      </c>
      <c r="AH48" s="467" t="n"/>
      <c r="AI48" s="467">
        <f>Table13[[#This Row],[Lead 
time (วัน)]]-Table13[[#This Row],[จำนวนวัน
ที่รอ artwork (วัน)]]</f>
        <v/>
      </c>
      <c r="AJ48" s="468" t="n">
        <v>46085</v>
      </c>
      <c r="AK48" s="468" t="n">
        <v>46106</v>
      </c>
      <c r="AL48" s="435">
        <f>Table13[[#This Row],[Launch 
Date.]]-Table13[[#This Row],[วันที่การตลาดอนุมัติ
ใบขอรหัส.]]</f>
        <v/>
      </c>
      <c r="AM48" s="888" t="n">
        <v>46090</v>
      </c>
      <c r="AN48" s="435">
        <f>Table13[[#This Row],[Launch 
Date.]]-Table13[[#This Row],[วันที่ใบขอรหัสจบ(ภายใน)]]</f>
        <v/>
      </c>
      <c r="AO48" s="35" t="n">
        <v>1</v>
      </c>
      <c r="AP48" s="35" t="n"/>
      <c r="AQ48" s="35" t="n">
        <v>1</v>
      </c>
      <c r="AR48" s="469" t="inlineStr">
        <is>
          <t>All Store</t>
        </is>
      </c>
      <c r="AS48" s="436" t="n">
        <v>0</v>
      </c>
      <c r="AT48" s="436" t="n"/>
      <c r="AU48" s="436" t="n">
        <v>38.84</v>
      </c>
      <c r="AV48" s="436" t="n">
        <v>33.18</v>
      </c>
      <c r="AW48" s="470" t="n"/>
      <c r="AX48" s="885" t="n"/>
      <c r="AY48" s="886" t="n">
        <v>43.35</v>
      </c>
      <c r="AZ48" s="470" t="n">
        <v>40.98</v>
      </c>
      <c r="BA48" s="470" t="n"/>
      <c r="BB48" s="470" t="n"/>
      <c r="BC48" s="887" t="n"/>
      <c r="BD48" s="470" t="n"/>
      <c r="BE48" s="470" t="n"/>
      <c r="BF48" s="470" t="n"/>
      <c r="BG48" s="469" t="n"/>
      <c r="BH48" s="469" t="n"/>
      <c r="BI48" s="470">
        <f>AVERAGE(AW48:BH48)</f>
        <v/>
      </c>
      <c r="BJ48" s="470">
        <f>BI48-AU48</f>
        <v/>
      </c>
      <c r="BK48" s="413" t="n"/>
      <c r="BL48" s="410" t="n"/>
      <c r="BM48" s="521" t="inlineStr">
        <is>
          <t>ไม่ระบุ nutrition บน aw</t>
        </is>
      </c>
      <c r="BN48" s="488" t="n"/>
      <c r="BO48" s="385" t="n"/>
      <c r="BP48" s="385" t="n"/>
      <c r="BQ48" s="385" t="n"/>
      <c r="BR48" s="385" t="n"/>
      <c r="BS48" s="385" t="n"/>
      <c r="BT48" s="441" t="n">
        <v>0</v>
      </c>
      <c r="BU48" s="441" t="n">
        <v>0</v>
      </c>
      <c r="BV48" s="441" t="n">
        <v>1381716</v>
      </c>
      <c r="BW48" s="628" t="n">
        <v>1887655</v>
      </c>
      <c r="BX48" s="441" t="n"/>
      <c r="BY48" s="441" t="n"/>
      <c r="BZ48" s="441" t="n"/>
      <c r="CA48" s="441" t="n"/>
      <c r="CB48" s="441" t="n"/>
      <c r="CC48" s="441" t="n"/>
      <c r="CD48" s="441" t="n"/>
      <c r="CE48" s="441" t="n"/>
      <c r="CF48" s="880">
        <f>SUM(BT48:CE48)</f>
        <v/>
      </c>
    </row>
    <row r="49" ht="42" customFormat="1" customHeight="1" s="324">
      <c r="A49" s="464" t="n">
        <v>46</v>
      </c>
      <c r="B49" s="559" t="inlineStr">
        <is>
          <t>ติ่มซำ (นึ่ง)</t>
        </is>
      </c>
      <c r="C49" s="544" t="inlineStr">
        <is>
          <t>PMA24</t>
        </is>
      </c>
      <c r="D49" s="652" t="inlineStr">
        <is>
          <t>Q1</t>
        </is>
      </c>
      <c r="E49" s="545" t="inlineStr">
        <is>
          <t>Mar</t>
        </is>
      </c>
      <c r="F49" s="464" t="n">
        <v>90101429</v>
      </c>
      <c r="G49" s="611" t="inlineStr">
        <is>
          <t>ขนมจีบหมูผสมไก่450g7-11 Frozen</t>
        </is>
      </c>
      <c r="H49" s="584" t="n">
        <v>2</v>
      </c>
      <c r="I49" s="560" t="n">
        <v>2</v>
      </c>
      <c r="J49" s="580" t="n">
        <v>0</v>
      </c>
      <c r="K49" s="465" t="n"/>
      <c r="L49" s="588" t="n">
        <v>100</v>
      </c>
      <c r="M49" s="589" t="n">
        <v>0</v>
      </c>
      <c r="N49" s="589" t="n">
        <v>1</v>
      </c>
      <c r="O49" s="589" t="n">
        <v>1</v>
      </c>
      <c r="P49" s="589" t="n"/>
      <c r="Q49" s="589" t="n"/>
      <c r="R49" s="589" t="n"/>
      <c r="S49" s="466" t="n"/>
      <c r="T49" s="525" t="n"/>
      <c r="U49" s="466" t="n">
        <v>1</v>
      </c>
      <c r="V49" s="466" t="n"/>
      <c r="W49" s="466" t="n"/>
      <c r="X49" s="466" t="n"/>
      <c r="Y49" s="466" t="n"/>
      <c r="Z49" s="532" t="n"/>
      <c r="AA49" s="394" t="n"/>
      <c r="AB49" s="394" t="n"/>
      <c r="AC49" s="510" t="n"/>
      <c r="AD49" s="467" t="n"/>
      <c r="AE49" s="467" t="n"/>
      <c r="AF49" s="467" t="n"/>
      <c r="AG49" s="467">
        <f>Table13[[#This Row],[วัน Pre-test 
run]]-Table13[[#This Row],[วันที่การตลาด
อนุมัติใบขอรหัส]]</f>
        <v/>
      </c>
      <c r="AH49" s="467" t="n"/>
      <c r="AI49" s="467">
        <f>Table13[[#This Row],[Lead 
time (วัน)]]-Table13[[#This Row],[จำนวนวัน
ที่รอ artwork (วัน)]]</f>
        <v/>
      </c>
      <c r="AJ49" s="468" t="n">
        <v>46044</v>
      </c>
      <c r="AK49" s="468" t="n">
        <v>46091</v>
      </c>
      <c r="AL49" s="435">
        <f>Table13[[#This Row],[Launch 
Date.]]-Table13[[#This Row],[วันที่การตลาดอนุมัติ
ใบขอรหัส.]]</f>
        <v/>
      </c>
      <c r="AM49" s="888" t="n">
        <v>46052</v>
      </c>
      <c r="AN49" s="435">
        <f>Table13[[#This Row],[Launch 
Date.]]-Table13[[#This Row],[วันที่ใบขอรหัสจบ(ภายใน)]]</f>
        <v/>
      </c>
      <c r="AO49" s="35" t="n">
        <v>1</v>
      </c>
      <c r="AP49" s="35" t="n"/>
      <c r="AQ49" s="35" t="n">
        <v>1</v>
      </c>
      <c r="AR49" s="469" t="inlineStr">
        <is>
          <t>All Store</t>
        </is>
      </c>
      <c r="AS49" s="436" t="n">
        <v>0</v>
      </c>
      <c r="AT49" s="436" t="n"/>
      <c r="AU49" s="436" t="n">
        <v>40.85</v>
      </c>
      <c r="AV49" s="436" t="n">
        <v>35.01</v>
      </c>
      <c r="AW49" s="470" t="n"/>
      <c r="AX49" s="885" t="n"/>
      <c r="AY49" s="886" t="n">
        <v>53.59</v>
      </c>
      <c r="AZ49" s="470" t="n">
        <v>52.18</v>
      </c>
      <c r="BA49" s="470" t="n"/>
      <c r="BB49" s="470" t="n"/>
      <c r="BC49" s="887" t="n"/>
      <c r="BD49" s="470" t="n"/>
      <c r="BE49" s="470" t="n"/>
      <c r="BF49" s="470" t="n"/>
      <c r="BG49" s="469" t="n"/>
      <c r="BH49" s="469" t="n"/>
      <c r="BI49" s="470">
        <f>AVERAGE(AW49:BH49)</f>
        <v/>
      </c>
      <c r="BJ49" s="470">
        <f>BI49-AU49</f>
        <v/>
      </c>
      <c r="BK49" s="413" t="n"/>
      <c r="BL49" s="410" t="n"/>
      <c r="BM49" s="521" t="inlineStr">
        <is>
          <t>ไม่ระบุ nutrition บน aw</t>
        </is>
      </c>
      <c r="BN49" s="488" t="n"/>
      <c r="BO49" s="385" t="n"/>
      <c r="BP49" s="385" t="n"/>
      <c r="BQ49" s="385" t="n"/>
      <c r="BR49" s="385" t="n"/>
      <c r="BS49" s="385" t="n"/>
      <c r="BT49" s="441" t="n">
        <v>0</v>
      </c>
      <c r="BU49" s="441" t="n">
        <v>0</v>
      </c>
      <c r="BV49" s="441" t="n">
        <v>2291201</v>
      </c>
      <c r="BW49" s="441" t="n">
        <v>1325912</v>
      </c>
      <c r="BX49" s="441" t="n"/>
      <c r="BY49" s="441" t="n"/>
      <c r="BZ49" s="441" t="n"/>
      <c r="CA49" s="441" t="n"/>
      <c r="CB49" s="441" t="n"/>
      <c r="CC49" s="441" t="n"/>
      <c r="CD49" s="441" t="n"/>
      <c r="CE49" s="441" t="n"/>
      <c r="CF49" s="880">
        <f>SUM(BT49:CE49)</f>
        <v/>
      </c>
    </row>
    <row r="50" ht="42" customFormat="1" customHeight="1" s="324">
      <c r="A50" s="464" t="n">
        <v>47</v>
      </c>
      <c r="B50" s="559" t="inlineStr">
        <is>
          <t>ติ่มซำ (นึ่ง)</t>
        </is>
      </c>
      <c r="C50" s="544" t="inlineStr">
        <is>
          <t>PMA24</t>
        </is>
      </c>
      <c r="D50" s="652" t="inlineStr">
        <is>
          <t>Q1</t>
        </is>
      </c>
      <c r="E50" s="545" t="inlineStr">
        <is>
          <t>Mar</t>
        </is>
      </c>
      <c r="F50" s="464" t="n">
        <v>90108284</v>
      </c>
      <c r="G50" s="611" t="inlineStr">
        <is>
          <t>แรบบิทฟักทอง ตรา อีซี่โก 50g,7-11</t>
        </is>
      </c>
      <c r="H50" s="584" t="n">
        <v>1</v>
      </c>
      <c r="I50" s="560" t="n">
        <v>2</v>
      </c>
      <c r="J50" s="580" t="n">
        <v>0</v>
      </c>
      <c r="K50" s="465" t="n"/>
      <c r="L50" s="589" t="n">
        <v>83.33</v>
      </c>
      <c r="M50" s="589" t="n">
        <v>0.42</v>
      </c>
      <c r="N50" s="589" t="n">
        <v>1</v>
      </c>
      <c r="O50" s="589" t="n">
        <v>1</v>
      </c>
      <c r="P50" s="589" t="n"/>
      <c r="Q50" s="589" t="n"/>
      <c r="R50" s="589" t="n"/>
      <c r="S50" s="466" t="n"/>
      <c r="T50" s="525" t="n"/>
      <c r="U50" s="466" t="n">
        <v>1</v>
      </c>
      <c r="V50" s="466" t="n"/>
      <c r="W50" s="466" t="n"/>
      <c r="X50" s="466" t="n"/>
      <c r="Y50" s="466" t="n"/>
      <c r="Z50" s="532" t="n"/>
      <c r="AA50" s="394" t="n"/>
      <c r="AB50" s="394" t="n"/>
      <c r="AC50" s="510" t="n"/>
      <c r="AD50" s="467" t="n"/>
      <c r="AE50" s="467" t="n"/>
      <c r="AF50" s="467" t="n"/>
      <c r="AG50" s="467">
        <f>Table13[[#This Row],[วัน Pre-test 
run]]-Table13[[#This Row],[วันที่การตลาด
อนุมัติใบขอรหัส]]</f>
        <v/>
      </c>
      <c r="AH50" s="467" t="n"/>
      <c r="AI50" s="467">
        <f>Table13[[#This Row],[Lead 
time (วัน)]]-Table13[[#This Row],[จำนวนวัน
ที่รอ artwork (วัน)]]</f>
        <v/>
      </c>
      <c r="AJ50" s="468" t="n">
        <v>46059</v>
      </c>
      <c r="AK50" s="468" t="n">
        <v>46100</v>
      </c>
      <c r="AL50" s="435">
        <f>Table13[[#This Row],[Launch 
Date.]]-Table13[[#This Row],[วันที่การตลาดอนุมัติ
ใบขอรหัส.]]</f>
        <v/>
      </c>
      <c r="AM50" s="888" t="n">
        <v>46066</v>
      </c>
      <c r="AN50" s="435">
        <f>Table13[[#This Row],[Launch 
Date.]]-Table13[[#This Row],[วันที่ใบขอรหัสจบ(ภายใน)]]</f>
        <v/>
      </c>
      <c r="AO50" s="35" t="n">
        <v>1</v>
      </c>
      <c r="AP50" s="35" t="n"/>
      <c r="AQ50" s="35" t="n">
        <v>1</v>
      </c>
      <c r="AR50" s="469" t="inlineStr">
        <is>
          <t>All Store</t>
        </is>
      </c>
      <c r="AS50" s="436" t="n">
        <v>0</v>
      </c>
      <c r="AT50" s="436" t="n"/>
      <c r="AU50" s="436" t="n">
        <v>36.99</v>
      </c>
      <c r="AV50" s="436" t="n">
        <v>33.48</v>
      </c>
      <c r="AW50" s="470" t="n"/>
      <c r="AX50" s="885" t="n"/>
      <c r="AY50" s="886" t="n">
        <v>45.43</v>
      </c>
      <c r="AZ50" s="470" t="n">
        <v>47.8</v>
      </c>
      <c r="BA50" s="470" t="n"/>
      <c r="BB50" s="470" t="n"/>
      <c r="BC50" s="887" t="n"/>
      <c r="BD50" s="470" t="n"/>
      <c r="BE50" s="470" t="n"/>
      <c r="BF50" s="470" t="n"/>
      <c r="BG50" s="469" t="n"/>
      <c r="BH50" s="469" t="n"/>
      <c r="BI50" s="470">
        <f>AVERAGE(AW50:BH50)</f>
        <v/>
      </c>
      <c r="BJ50" s="470">
        <f>BI50-AU50</f>
        <v/>
      </c>
      <c r="BK50" s="413" t="n"/>
      <c r="BL50" s="410" t="n"/>
      <c r="BM50" s="521" t="inlineStr">
        <is>
          <t>ไม่ระบุ nutrition บน aw</t>
        </is>
      </c>
      <c r="BN50" s="488" t="n"/>
      <c r="BO50" s="385" t="n"/>
      <c r="BP50" s="385" t="n"/>
      <c r="BQ50" s="385" t="n"/>
      <c r="BR50" s="385" t="n"/>
      <c r="BS50" s="385" t="n"/>
      <c r="BT50" s="441" t="n">
        <v>0</v>
      </c>
      <c r="BU50" s="441" t="n">
        <v>0</v>
      </c>
      <c r="BV50" s="441" t="n">
        <v>735992</v>
      </c>
      <c r="BW50" s="441" t="n">
        <v>761235</v>
      </c>
      <c r="BX50" s="441" t="n"/>
      <c r="BY50" s="441" t="n"/>
      <c r="BZ50" s="441" t="n"/>
      <c r="CA50" s="441" t="n"/>
      <c r="CB50" s="441" t="n"/>
      <c r="CC50" s="441" t="n"/>
      <c r="CD50" s="441" t="n"/>
      <c r="CE50" s="441" t="n"/>
      <c r="CF50" s="880">
        <f>SUM(BT50:CE50)</f>
        <v/>
      </c>
    </row>
    <row r="51" ht="42" customFormat="1" customHeight="1" s="324">
      <c r="A51" s="464" t="n">
        <v>48</v>
      </c>
      <c r="B51" s="559" t="inlineStr">
        <is>
          <t>ข้าวเหนียว สเต็ก</t>
        </is>
      </c>
      <c r="C51" s="464" t="inlineStr">
        <is>
          <t>PMA08</t>
        </is>
      </c>
      <c r="D51" s="652" t="inlineStr">
        <is>
          <t>Q1</t>
        </is>
      </c>
      <c r="E51" s="545" t="inlineStr">
        <is>
          <t>Mar</t>
        </is>
      </c>
      <c r="F51" s="464" t="n">
        <v>90113366</v>
      </c>
      <c r="G51" s="611" t="inlineStr">
        <is>
          <t>BGข้าวเหนียวไก่ปลาร้า อีซี่โก 140g, 7-11</t>
        </is>
      </c>
      <c r="H51" s="584" t="n"/>
      <c r="I51" s="560" t="n">
        <v>4</v>
      </c>
      <c r="J51" s="580" t="n">
        <v>0</v>
      </c>
      <c r="K51" s="465" t="n"/>
      <c r="L51" s="589" t="n">
        <v>100</v>
      </c>
      <c r="M51" s="589" t="n">
        <v>0.15</v>
      </c>
      <c r="N51" s="589" t="n">
        <v>1</v>
      </c>
      <c r="O51" s="587" t="n">
        <v>1</v>
      </c>
      <c r="P51" s="587" t="n">
        <v>0</v>
      </c>
      <c r="Q51" s="587" t="n">
        <v>0</v>
      </c>
      <c r="R51" s="589" t="n"/>
      <c r="S51" s="466" t="n"/>
      <c r="T51" s="525" t="n"/>
      <c r="U51" s="587" t="n">
        <v>1</v>
      </c>
      <c r="V51" s="587" t="n">
        <v>0</v>
      </c>
      <c r="W51" s="587" t="n">
        <v>0</v>
      </c>
      <c r="X51" s="466" t="n"/>
      <c r="Y51" s="466" t="n"/>
      <c r="Z51" s="532" t="n"/>
      <c r="AA51" s="394" t="n"/>
      <c r="AB51" s="394" t="n"/>
      <c r="AC51" s="510" t="n"/>
      <c r="AD51" s="467" t="n"/>
      <c r="AE51" s="467" t="n"/>
      <c r="AF51" s="467" t="n"/>
      <c r="AG51" s="467">
        <f>Table13[[#This Row],[วัน Pre-test 
run]]-Table13[[#This Row],[วันที่การตลาด
อนุมัติใบขอรหัส]]</f>
        <v/>
      </c>
      <c r="AH51" s="467" t="n"/>
      <c r="AI51" s="467">
        <f>Table13[[#This Row],[Lead 
time (วัน)]]-Table13[[#This Row],[จำนวนวัน
ที่รอ artwork (วัน)]]</f>
        <v/>
      </c>
      <c r="AJ51" s="468" t="n">
        <v>46083</v>
      </c>
      <c r="AK51" s="468" t="n">
        <v>46097</v>
      </c>
      <c r="AL51" s="435">
        <f>Table13[[#This Row],[Launch 
Date.]]-Table13[[#This Row],[วันที่การตลาดอนุมัติ
ใบขอรหัส.]]</f>
        <v/>
      </c>
      <c r="AM51" s="888" t="n">
        <v>46087</v>
      </c>
      <c r="AN51" s="435">
        <f>Table13[[#This Row],[Launch 
Date.]]-Table13[[#This Row],[วันที่ใบขอรหัสจบ(ภายใน)]]</f>
        <v/>
      </c>
      <c r="AO51" s="35" t="n">
        <v>1</v>
      </c>
      <c r="AP51" s="35" t="n"/>
      <c r="AQ51" s="35" t="n">
        <v>1</v>
      </c>
      <c r="AR51" s="469" t="inlineStr">
        <is>
          <t>All Store</t>
        </is>
      </c>
      <c r="AS51" s="436" t="n">
        <v>0</v>
      </c>
      <c r="AT51" s="436" t="n"/>
      <c r="AU51" s="436" t="n">
        <v>31.11</v>
      </c>
      <c r="AV51" s="436" t="n">
        <v>25.52</v>
      </c>
      <c r="AW51" s="470" t="n"/>
      <c r="AX51" s="885" t="n"/>
      <c r="AY51" s="890" t="n">
        <v>28.1</v>
      </c>
      <c r="AZ51" s="622" t="n">
        <v>30.63</v>
      </c>
      <c r="BA51" s="470" t="n"/>
      <c r="BB51" s="470" t="n"/>
      <c r="BC51" s="887" t="n"/>
      <c r="BD51" s="470" t="n"/>
      <c r="BE51" s="470" t="n"/>
      <c r="BF51" s="470" t="n"/>
      <c r="BG51" s="469" t="n"/>
      <c r="BH51" s="469" t="n"/>
      <c r="BI51" s="470">
        <f>AVERAGE(AW51:BH51)</f>
        <v/>
      </c>
      <c r="BJ51" s="470">
        <f>BI51-AU51</f>
        <v/>
      </c>
      <c r="BK51" s="413" t="n"/>
      <c r="BL51" s="410" t="n"/>
      <c r="BM51" s="474" t="n">
        <v>690</v>
      </c>
      <c r="BN51" s="486" t="n">
        <v>1</v>
      </c>
      <c r="BO51" s="385" t="n"/>
      <c r="BP51" s="385" t="n"/>
      <c r="BQ51" s="385" t="n"/>
      <c r="BR51" s="385" t="n"/>
      <c r="BS51" s="385" t="n"/>
      <c r="BT51" s="441" t="n">
        <v>0</v>
      </c>
      <c r="BU51" s="441" t="n">
        <v>0</v>
      </c>
      <c r="BV51" s="441" t="n">
        <v>2511029</v>
      </c>
      <c r="BW51" s="441" t="n">
        <v>3623664</v>
      </c>
      <c r="BX51" s="441" t="n"/>
      <c r="BY51" s="441" t="n"/>
      <c r="BZ51" s="441" t="n"/>
      <c r="CA51" s="441" t="n"/>
      <c r="CB51" s="441" t="n"/>
      <c r="CC51" s="441" t="n"/>
      <c r="CD51" s="441" t="n"/>
      <c r="CE51" s="441" t="n"/>
      <c r="CF51" s="880">
        <f>SUM(BT51:CE51)</f>
        <v/>
      </c>
    </row>
    <row r="52" ht="42" customFormat="1" customHeight="1" s="324">
      <c r="A52" s="464" t="n">
        <v>49</v>
      </c>
      <c r="B52" s="559" t="inlineStr">
        <is>
          <t>เบอร์เกอร์ รองท้อง</t>
        </is>
      </c>
      <c r="C52" s="464" t="inlineStr">
        <is>
          <t>PMA08</t>
        </is>
      </c>
      <c r="D52" s="652" t="inlineStr">
        <is>
          <t>Q1</t>
        </is>
      </c>
      <c r="E52" s="545" t="inlineStr">
        <is>
          <t>Mar</t>
        </is>
      </c>
      <c r="F52" s="464" t="n">
        <v>90113360</v>
      </c>
      <c r="G52" s="611" t="inlineStr">
        <is>
          <t>เบอร์เกอร์หมูชีสและแฮมEZYGO126g,7-11</t>
        </is>
      </c>
      <c r="H52" s="584" t="n">
        <v>2</v>
      </c>
      <c r="I52" s="560" t="inlineStr">
        <is>
          <t>2,KKN</t>
        </is>
      </c>
      <c r="J52" s="580" t="n">
        <v>0</v>
      </c>
      <c r="K52" s="465" t="n"/>
      <c r="L52" s="588" t="n">
        <v>100</v>
      </c>
      <c r="M52" s="589" t="n">
        <v>0</v>
      </c>
      <c r="N52" s="589" t="n">
        <v>1</v>
      </c>
      <c r="O52" s="587" t="n">
        <v>1</v>
      </c>
      <c r="P52" s="587" t="n">
        <v>0</v>
      </c>
      <c r="Q52" s="587" t="n">
        <v>0</v>
      </c>
      <c r="R52" s="589" t="n"/>
      <c r="S52" s="466" t="n"/>
      <c r="T52" s="525" t="n"/>
      <c r="U52" s="587" t="n">
        <v>1</v>
      </c>
      <c r="V52" s="587" t="n">
        <v>0</v>
      </c>
      <c r="W52" s="587" t="n">
        <v>0</v>
      </c>
      <c r="X52" s="466" t="n"/>
      <c r="Y52" s="466" t="n"/>
      <c r="Z52" s="532" t="n"/>
      <c r="AA52" s="394" t="n"/>
      <c r="AB52" s="394" t="n"/>
      <c r="AC52" s="510" t="n"/>
      <c r="AD52" s="467" t="n"/>
      <c r="AE52" s="467" t="n"/>
      <c r="AF52" s="467" t="n"/>
      <c r="AG52" s="467">
        <f>Table13[[#This Row],[วัน Pre-test 
run]]-Table13[[#This Row],[วันที่การตลาด
อนุมัติใบขอรหัส]]</f>
        <v/>
      </c>
      <c r="AH52" s="467" t="n"/>
      <c r="AI52" s="467">
        <f>Table13[[#This Row],[Lead 
time (วัน)]]-Table13[[#This Row],[จำนวนวัน
ที่รอ artwork (วัน)]]</f>
        <v/>
      </c>
      <c r="AJ52" s="468" t="n">
        <v>46063</v>
      </c>
      <c r="AK52" s="468" t="n">
        <v>46083</v>
      </c>
      <c r="AL52" s="435">
        <f>Table13[[#This Row],[Launch 
Date.]]-Table13[[#This Row],[วันที่การตลาดอนุมัติ
ใบขอรหัส.]]</f>
        <v/>
      </c>
      <c r="AM52" s="888" t="n">
        <v>46063</v>
      </c>
      <c r="AN52" s="435">
        <f>Table13[[#This Row],[Launch 
Date.]]-Table13[[#This Row],[วันที่ใบขอรหัสจบ(ภายใน)]]</f>
        <v/>
      </c>
      <c r="AO52" s="35" t="n">
        <v>1</v>
      </c>
      <c r="AP52" s="35" t="n"/>
      <c r="AQ52" s="35" t="n">
        <v>1</v>
      </c>
      <c r="AR52" s="469" t="inlineStr">
        <is>
          <t>All Store</t>
        </is>
      </c>
      <c r="AS52" s="436" t="n">
        <v>0</v>
      </c>
      <c r="AT52" s="436" t="n"/>
      <c r="AU52" s="436" t="n">
        <v>28.98</v>
      </c>
      <c r="AV52" s="436" t="n">
        <v>24.47</v>
      </c>
      <c r="AW52" s="470" t="n"/>
      <c r="AX52" s="885" t="n"/>
      <c r="AY52" s="890" t="n">
        <v>27.06</v>
      </c>
      <c r="AZ52" s="622" t="n">
        <v>26.43</v>
      </c>
      <c r="BA52" s="470" t="n"/>
      <c r="BB52" s="470" t="n"/>
      <c r="BC52" s="887" t="n"/>
      <c r="BD52" s="470" t="n"/>
      <c r="BE52" s="470" t="n"/>
      <c r="BF52" s="470" t="n"/>
      <c r="BG52" s="469" t="n"/>
      <c r="BH52" s="469" t="n"/>
      <c r="BI52" s="470">
        <f>AVERAGE(AW52:BH52)</f>
        <v/>
      </c>
      <c r="BJ52" s="470">
        <f>BI52-AU52</f>
        <v/>
      </c>
      <c r="BK52" s="413" t="n"/>
      <c r="BL52" s="410" t="n"/>
      <c r="BM52" s="474" t="n">
        <v>750</v>
      </c>
      <c r="BN52" s="486" t="n">
        <v>1</v>
      </c>
      <c r="BO52" s="385" t="n"/>
      <c r="BP52" s="385" t="n"/>
      <c r="BQ52" s="385" t="n"/>
      <c r="BR52" s="385" t="n"/>
      <c r="BS52" s="385" t="n"/>
      <c r="BT52" s="441" t="n">
        <v>0</v>
      </c>
      <c r="BU52" s="441" t="n">
        <v>0</v>
      </c>
      <c r="BV52" s="441" t="n">
        <v>3914350</v>
      </c>
      <c r="BW52" s="441" t="n">
        <v>2796272</v>
      </c>
      <c r="BX52" s="441" t="n"/>
      <c r="BY52" s="441" t="n"/>
      <c r="BZ52" s="441" t="n"/>
      <c r="CA52" s="441" t="n"/>
      <c r="CB52" s="441" t="n"/>
      <c r="CC52" s="441" t="n"/>
      <c r="CD52" s="441" t="n"/>
      <c r="CE52" s="441" t="n"/>
      <c r="CF52" s="880">
        <f>SUM(BT52:CE52)</f>
        <v/>
      </c>
    </row>
    <row r="53" ht="42" customFormat="1" customHeight="1" s="324">
      <c r="A53" s="464" t="n">
        <v>50</v>
      </c>
      <c r="B53" s="559" t="inlineStr">
        <is>
          <t>เบอร์เกอร์ รองท้อง</t>
        </is>
      </c>
      <c r="C53" s="464" t="inlineStr">
        <is>
          <t>PMA08</t>
        </is>
      </c>
      <c r="D53" s="652" t="inlineStr">
        <is>
          <t>Q1</t>
        </is>
      </c>
      <c r="E53" s="545" t="inlineStr">
        <is>
          <t>Mar</t>
        </is>
      </c>
      <c r="F53" s="464" t="n">
        <v>90113362</v>
      </c>
      <c r="G53" s="611" t="inlineStr">
        <is>
          <t>BGกุ้งย่างและชีส(ผสมไก่)EZYGO115g,7-11</t>
        </is>
      </c>
      <c r="H53" s="584" t="n">
        <v>1</v>
      </c>
      <c r="I53" s="560" t="inlineStr">
        <is>
          <t>2,1</t>
        </is>
      </c>
      <c r="J53" s="580" t="n">
        <v>0</v>
      </c>
      <c r="K53" s="465" t="n"/>
      <c r="L53" s="589" t="n">
        <v>100</v>
      </c>
      <c r="M53" s="589" t="n">
        <v>0</v>
      </c>
      <c r="N53" s="589" t="n">
        <v>1</v>
      </c>
      <c r="O53" s="587" t="n">
        <v>0</v>
      </c>
      <c r="P53" s="587" t="n">
        <v>0</v>
      </c>
      <c r="Q53" s="587" t="n">
        <v>1</v>
      </c>
      <c r="R53" s="589" t="inlineStr">
        <is>
          <t>กระบวนการไม่ผ่าน (ผลิต)</t>
        </is>
      </c>
      <c r="S53" s="466" t="n"/>
      <c r="T53" s="394" t="inlineStr">
        <is>
          <t>สายพานหนีบไส้</t>
        </is>
      </c>
      <c r="U53" s="587" t="n">
        <v>1</v>
      </c>
      <c r="V53" s="587" t="n">
        <v>0</v>
      </c>
      <c r="W53" s="587" t="n">
        <v>0</v>
      </c>
      <c r="X53" s="466" t="n"/>
      <c r="Y53" s="466" t="n"/>
      <c r="Z53" s="532" t="n"/>
      <c r="AA53" s="394" t="n"/>
      <c r="AB53" s="394" t="n"/>
      <c r="AC53" s="510" t="n"/>
      <c r="AD53" s="467" t="n"/>
      <c r="AE53" s="467" t="n"/>
      <c r="AF53" s="467" t="n"/>
      <c r="AG53" s="467">
        <f>Table13[[#This Row],[วัน Pre-test 
run]]-Table13[[#This Row],[วันที่การตลาด
อนุมัติใบขอรหัส]]</f>
        <v/>
      </c>
      <c r="AH53" s="467" t="n"/>
      <c r="AI53" s="467">
        <f>Table13[[#This Row],[Lead 
time (วัน)]]-Table13[[#This Row],[จำนวนวัน
ที่รอ artwork (วัน)]]</f>
        <v/>
      </c>
      <c r="AJ53" s="468" t="n">
        <v>46071</v>
      </c>
      <c r="AK53" s="468" t="n">
        <v>46090</v>
      </c>
      <c r="AL53" s="435">
        <f>Table13[[#This Row],[Launch 
Date.]]-Table13[[#This Row],[วันที่การตลาดอนุมัติ
ใบขอรหัส.]]</f>
        <v/>
      </c>
      <c r="AM53" s="888" t="n">
        <v>46073</v>
      </c>
      <c r="AN53" s="435">
        <f>Table13[[#This Row],[Launch 
Date.]]-Table13[[#This Row],[วันที่ใบขอรหัสจบ(ภายใน)]]</f>
        <v/>
      </c>
      <c r="AO53" s="35" t="n">
        <v>1</v>
      </c>
      <c r="AP53" s="35" t="n"/>
      <c r="AQ53" s="35" t="n">
        <v>1</v>
      </c>
      <c r="AR53" s="469" t="inlineStr">
        <is>
          <t>All Store</t>
        </is>
      </c>
      <c r="AS53" s="436" t="n">
        <v>0</v>
      </c>
      <c r="AT53" s="436" t="n"/>
      <c r="AU53" s="436" t="n">
        <v>32.57</v>
      </c>
      <c r="AV53" s="436" t="n">
        <v>28.75</v>
      </c>
      <c r="AW53" s="470" t="n"/>
      <c r="AX53" s="885" t="n"/>
      <c r="AY53" s="886" t="n">
        <v>35.17</v>
      </c>
      <c r="AZ53" s="470" t="n">
        <v>33.9</v>
      </c>
      <c r="BA53" s="470" t="n"/>
      <c r="BB53" s="470" t="n"/>
      <c r="BC53" s="887" t="n"/>
      <c r="BD53" s="470" t="n"/>
      <c r="BE53" s="470" t="n"/>
      <c r="BF53" s="470" t="n"/>
      <c r="BG53" s="469" t="n"/>
      <c r="BH53" s="469" t="n"/>
      <c r="BI53" s="470">
        <f>AVERAGE(AW53:BH53)</f>
        <v/>
      </c>
      <c r="BJ53" s="470">
        <f>BI53-AU53</f>
        <v/>
      </c>
      <c r="BK53" s="413" t="n"/>
      <c r="BL53" s="410" t="n"/>
      <c r="BM53" s="474" t="n">
        <v>950</v>
      </c>
      <c r="BN53" s="486" t="n">
        <v>1</v>
      </c>
      <c r="BO53" s="385" t="n"/>
      <c r="BP53" s="385" t="n"/>
      <c r="BQ53" s="385" t="n"/>
      <c r="BR53" s="385" t="n"/>
      <c r="BS53" s="385" t="n"/>
      <c r="BT53" s="441" t="n">
        <v>0</v>
      </c>
      <c r="BU53" s="441" t="n">
        <v>0</v>
      </c>
      <c r="BV53" s="441" t="n">
        <v>2619028</v>
      </c>
      <c r="BW53" s="441" t="n">
        <v>2429581</v>
      </c>
      <c r="BX53" s="441" t="n"/>
      <c r="BY53" s="441" t="n"/>
      <c r="BZ53" s="441" t="n"/>
      <c r="CA53" s="441" t="n"/>
      <c r="CB53" s="441" t="n"/>
      <c r="CC53" s="441" t="n"/>
      <c r="CD53" s="441" t="n"/>
      <c r="CE53" s="441" t="n"/>
      <c r="CF53" s="880">
        <f>SUM(BT53:CE53)</f>
        <v/>
      </c>
    </row>
    <row r="54" ht="42" customFormat="1" customHeight="1" s="324">
      <c r="A54" s="464" t="n">
        <v>51</v>
      </c>
      <c r="B54" s="559" t="inlineStr">
        <is>
          <t>เบอร์เกอร์ รองท้อง</t>
        </is>
      </c>
      <c r="C54" s="464" t="inlineStr">
        <is>
          <t>PMA08</t>
        </is>
      </c>
      <c r="D54" s="652" t="inlineStr">
        <is>
          <t>Q1</t>
        </is>
      </c>
      <c r="E54" s="545" t="inlineStr">
        <is>
          <t>Mar</t>
        </is>
      </c>
      <c r="F54" s="464" t="n">
        <v>90113363</v>
      </c>
      <c r="G54" s="611" t="inlineStr">
        <is>
          <t>เบอร์เกอร์ไก่ทอดชีสEZYGO143g,7-11</t>
        </is>
      </c>
      <c r="H54" s="584" t="n">
        <v>1</v>
      </c>
      <c r="I54" s="560" t="n">
        <v>1</v>
      </c>
      <c r="J54" s="580" t="n">
        <v>0</v>
      </c>
      <c r="K54" s="465" t="n"/>
      <c r="L54" s="588" t="n">
        <v>100</v>
      </c>
      <c r="M54" s="589" t="n">
        <v>0.16</v>
      </c>
      <c r="N54" s="589" t="n">
        <v>1</v>
      </c>
      <c r="O54" s="587" t="n">
        <v>1</v>
      </c>
      <c r="P54" s="587" t="n">
        <v>0</v>
      </c>
      <c r="Q54" s="587" t="n">
        <v>0</v>
      </c>
      <c r="R54" s="589" t="n"/>
      <c r="S54" s="466" t="n"/>
      <c r="T54" s="525" t="n"/>
      <c r="U54" s="587" t="n">
        <v>1</v>
      </c>
      <c r="V54" s="587" t="n">
        <v>0</v>
      </c>
      <c r="W54" s="587" t="n">
        <v>0</v>
      </c>
      <c r="X54" s="466" t="n"/>
      <c r="Y54" s="466" t="n"/>
      <c r="Z54" s="532" t="n"/>
      <c r="AA54" s="394" t="n"/>
      <c r="AB54" s="394" t="n"/>
      <c r="AC54" s="510" t="n"/>
      <c r="AD54" s="467" t="n"/>
      <c r="AE54" s="467" t="n"/>
      <c r="AF54" s="467" t="n"/>
      <c r="AG54" s="467">
        <f>Table13[[#This Row],[วัน Pre-test 
run]]-Table13[[#This Row],[วันที่การตลาด
อนุมัติใบขอรหัส]]</f>
        <v/>
      </c>
      <c r="AH54" s="467" t="n"/>
      <c r="AI54" s="467">
        <f>Table13[[#This Row],[Lead 
time (วัน)]]-Table13[[#This Row],[จำนวนวัน
ที่รอ artwork (วัน)]]</f>
        <v/>
      </c>
      <c r="AJ54" s="468" t="n">
        <v>46085</v>
      </c>
      <c r="AK54" s="468" t="n">
        <v>46112</v>
      </c>
      <c r="AL54" s="435">
        <f>Table13[[#This Row],[Launch 
Date.]]-Table13[[#This Row],[วันที่การตลาดอนุมัติ
ใบขอรหัส.]]</f>
        <v/>
      </c>
      <c r="AM54" s="888" t="n">
        <v>46090</v>
      </c>
      <c r="AN54" s="435">
        <f>Table13[[#This Row],[Launch 
Date.]]-Table13[[#This Row],[วันที่ใบขอรหัสจบ(ภายใน)]]</f>
        <v/>
      </c>
      <c r="AO54" s="35" t="n">
        <v>1</v>
      </c>
      <c r="AP54" s="35" t="n"/>
      <c r="AQ54" s="35" t="n">
        <v>1</v>
      </c>
      <c r="AR54" s="469" t="inlineStr">
        <is>
          <t>All Store</t>
        </is>
      </c>
      <c r="AS54" s="436" t="n">
        <v>0</v>
      </c>
      <c r="AT54" s="436" t="n"/>
      <c r="AU54" s="436" t="n">
        <v>26.97</v>
      </c>
      <c r="AV54" s="436" t="n">
        <v>21.38</v>
      </c>
      <c r="AW54" s="470" t="n"/>
      <c r="AX54" s="885" t="n"/>
      <c r="AY54" s="890" t="n">
        <v>25.16</v>
      </c>
      <c r="AZ54" s="622" t="n">
        <v>24.81</v>
      </c>
      <c r="BA54" s="470" t="n"/>
      <c r="BB54" s="470" t="n"/>
      <c r="BC54" s="887" t="n"/>
      <c r="BD54" s="470" t="n"/>
      <c r="BE54" s="470" t="n"/>
      <c r="BF54" s="470" t="n"/>
      <c r="BG54" s="469" t="n"/>
      <c r="BH54" s="469" t="n"/>
      <c r="BI54" s="470">
        <f>AVERAGE(AW54:BH54)</f>
        <v/>
      </c>
      <c r="BJ54" s="470">
        <f>BI54-AU54</f>
        <v/>
      </c>
      <c r="BK54" s="413" t="n"/>
      <c r="BL54" s="410" t="n"/>
      <c r="BM54" s="474" t="n">
        <v>900</v>
      </c>
      <c r="BN54" s="486" t="n">
        <v>1</v>
      </c>
      <c r="BO54" s="385" t="n"/>
      <c r="BP54" s="385" t="n"/>
      <c r="BQ54" s="385" t="n"/>
      <c r="BR54" s="385" t="n"/>
      <c r="BS54" s="385" t="n"/>
      <c r="BT54" s="441" t="n">
        <v>0</v>
      </c>
      <c r="BU54" s="441" t="n">
        <v>0</v>
      </c>
      <c r="BV54" s="441" t="n">
        <v>571542</v>
      </c>
      <c r="BW54" s="441" t="n">
        <v>3056553</v>
      </c>
      <c r="BX54" s="441" t="n"/>
      <c r="BY54" s="441" t="n"/>
      <c r="BZ54" s="441" t="n"/>
      <c r="CA54" s="441" t="n"/>
      <c r="CB54" s="441" t="n"/>
      <c r="CC54" s="441" t="n"/>
      <c r="CD54" s="441" t="n"/>
      <c r="CE54" s="441" t="n"/>
      <c r="CF54" s="880">
        <f>SUM(BT54:CE54)</f>
        <v/>
      </c>
    </row>
    <row r="55" ht="42" customFormat="1" customHeight="1" s="324">
      <c r="A55" s="464" t="n">
        <v>52</v>
      </c>
      <c r="B55" s="559" t="inlineStr">
        <is>
          <t>ข้าวเหนียว สเต็ก</t>
        </is>
      </c>
      <c r="C55" s="464" t="inlineStr">
        <is>
          <t>PMA08</t>
        </is>
      </c>
      <c r="D55" s="652" t="inlineStr">
        <is>
          <t>Q1</t>
        </is>
      </c>
      <c r="E55" s="545" t="inlineStr">
        <is>
          <t>Mar</t>
        </is>
      </c>
      <c r="F55" s="464" t="n">
        <v>90113359</v>
      </c>
      <c r="G55" s="617" t="inlineStr">
        <is>
          <t>เจ๊แดงBGข้าวเหนียวหมูน้ำตก141gIMP26,7-11</t>
        </is>
      </c>
      <c r="H55" s="584" t="n">
        <v>1</v>
      </c>
      <c r="I55" s="560" t="n">
        <v>4</v>
      </c>
      <c r="J55" s="580" t="n">
        <v>0</v>
      </c>
      <c r="K55" s="465" t="n"/>
      <c r="L55" s="589" t="n">
        <v>100</v>
      </c>
      <c r="M55" s="589" t="n">
        <v>0.1</v>
      </c>
      <c r="N55" s="589" t="n">
        <v>1</v>
      </c>
      <c r="O55" s="587" t="n">
        <v>1</v>
      </c>
      <c r="P55" s="587" t="n">
        <v>0</v>
      </c>
      <c r="Q55" s="587" t="n">
        <v>0</v>
      </c>
      <c r="R55" s="589" t="n"/>
      <c r="S55" s="466" t="n"/>
      <c r="T55" s="525" t="n"/>
      <c r="U55" s="587" t="n">
        <v>1</v>
      </c>
      <c r="V55" s="587" t="n">
        <v>0</v>
      </c>
      <c r="W55" s="587" t="n">
        <v>0</v>
      </c>
      <c r="X55" s="466" t="n"/>
      <c r="Y55" s="466" t="n"/>
      <c r="Z55" s="532" t="n"/>
      <c r="AA55" s="394" t="n"/>
      <c r="AB55" s="394" t="n"/>
      <c r="AC55" s="510" t="n"/>
      <c r="AD55" s="467" t="n"/>
      <c r="AE55" s="467" t="n"/>
      <c r="AF55" s="467" t="n"/>
      <c r="AG55" s="467">
        <f>Table13[[#This Row],[วัน Pre-test 
run]]-Table13[[#This Row],[วันที่การตลาด
อนุมัติใบขอรหัส]]</f>
        <v/>
      </c>
      <c r="AH55" s="467" t="n"/>
      <c r="AI55" s="467">
        <f>Table13[[#This Row],[Lead 
time (วัน)]]-Table13[[#This Row],[จำนวนวัน
ที่รอ artwork (วัน)]]</f>
        <v/>
      </c>
      <c r="AJ55" s="468" t="n">
        <v>46051</v>
      </c>
      <c r="AK55" s="468" t="n">
        <v>46082</v>
      </c>
      <c r="AL55" s="435">
        <f>Table13[[#This Row],[Launch 
Date.]]-Table13[[#This Row],[วันที่การตลาดอนุมัติ
ใบขอรหัส.]]</f>
        <v/>
      </c>
      <c r="AM55" s="888" t="n">
        <v>46055</v>
      </c>
      <c r="AN55" s="435">
        <f>Table13[[#This Row],[Launch 
Date.]]-Table13[[#This Row],[วันที่ใบขอรหัสจบ(ภายใน)]]</f>
        <v/>
      </c>
      <c r="AO55" s="35" t="n"/>
      <c r="AP55" s="35" t="n">
        <v>1</v>
      </c>
      <c r="AQ55" s="35" t="n">
        <v>1</v>
      </c>
      <c r="AR55" s="469" t="inlineStr">
        <is>
          <t>All Store</t>
        </is>
      </c>
      <c r="AS55" s="436" t="n">
        <v>0</v>
      </c>
      <c r="AT55" s="436" t="n"/>
      <c r="AU55" s="436" t="n">
        <v>41</v>
      </c>
      <c r="AV55" s="436" t="n">
        <v>30.15</v>
      </c>
      <c r="AW55" s="470" t="n"/>
      <c r="AX55" s="885" t="n"/>
      <c r="AY55" s="886" t="n">
        <v>58.83</v>
      </c>
      <c r="AZ55" s="470" t="n">
        <v>62.95</v>
      </c>
      <c r="BA55" s="470" t="n"/>
      <c r="BB55" s="470" t="n"/>
      <c r="BC55" s="887" t="n"/>
      <c r="BD55" s="470" t="n"/>
      <c r="BE55" s="470" t="n"/>
      <c r="BF55" s="470" t="n"/>
      <c r="BG55" s="469" t="n"/>
      <c r="BH55" s="469" t="n"/>
      <c r="BI55" s="470">
        <f>AVERAGE(AW55:BH55)</f>
        <v/>
      </c>
      <c r="BJ55" s="470">
        <f>BI55-AU55</f>
        <v/>
      </c>
      <c r="BK55" s="413" t="n"/>
      <c r="BL55" s="410" t="n"/>
      <c r="BM55" s="474" t="n">
        <v>510</v>
      </c>
      <c r="BN55" s="486" t="n">
        <v>1</v>
      </c>
      <c r="BO55" s="385" t="n"/>
      <c r="BP55" s="385" t="n"/>
      <c r="BQ55" s="385" t="n"/>
      <c r="BR55" s="385" t="n"/>
      <c r="BS55" s="385" t="n"/>
      <c r="BT55" s="441" t="n">
        <v>0</v>
      </c>
      <c r="BU55" s="441" t="n">
        <v>-237</v>
      </c>
      <c r="BV55" s="441" t="n">
        <v>2784168</v>
      </c>
      <c r="BW55" s="441" t="n">
        <v>2185825</v>
      </c>
      <c r="BX55" s="441" t="n"/>
      <c r="BY55" s="441" t="n"/>
      <c r="BZ55" s="441" t="n"/>
      <c r="CA55" s="441" t="n"/>
      <c r="CB55" s="441" t="n"/>
      <c r="CC55" s="441" t="n"/>
      <c r="CD55" s="441" t="n"/>
      <c r="CE55" s="441" t="n"/>
      <c r="CF55" s="880">
        <f>SUM(BT55:CE55)</f>
        <v/>
      </c>
    </row>
    <row r="56" ht="42" customFormat="1" customHeight="1" s="324">
      <c r="A56" s="464" t="n">
        <v>53</v>
      </c>
      <c r="B56" s="559" t="inlineStr">
        <is>
          <t>เบอร์เกอร์ รองท้อง</t>
        </is>
      </c>
      <c r="C56" s="464" t="inlineStr">
        <is>
          <t>PMA08</t>
        </is>
      </c>
      <c r="D56" s="652" t="inlineStr">
        <is>
          <t>Q1</t>
        </is>
      </c>
      <c r="E56" s="545" t="inlineStr">
        <is>
          <t>Mar</t>
        </is>
      </c>
      <c r="F56" s="464" t="n">
        <v>90113361</v>
      </c>
      <c r="G56" s="611" t="inlineStr">
        <is>
          <t>เบอร์เกอร์กุ้งEZYGO93g,7-11IMP2026</t>
        </is>
      </c>
      <c r="H56" s="584" t="n">
        <v>1</v>
      </c>
      <c r="I56" s="560" t="inlineStr">
        <is>
          <t>all bu</t>
        </is>
      </c>
      <c r="J56" s="580" t="n">
        <v>0</v>
      </c>
      <c r="K56" s="465" t="n"/>
      <c r="L56" s="588" t="n">
        <v>100</v>
      </c>
      <c r="M56" s="589" t="n">
        <v>0.1</v>
      </c>
      <c r="N56" s="589" t="n">
        <v>1</v>
      </c>
      <c r="O56" s="587" t="n">
        <v>1</v>
      </c>
      <c r="P56" s="587" t="n">
        <v>0</v>
      </c>
      <c r="Q56" s="587" t="n">
        <v>0</v>
      </c>
      <c r="R56" s="589" t="n"/>
      <c r="S56" s="466" t="n"/>
      <c r="T56" s="525" t="n"/>
      <c r="U56" s="587" t="n">
        <v>0</v>
      </c>
      <c r="V56" s="587" t="n">
        <v>0</v>
      </c>
      <c r="W56" s="587" t="n">
        <v>1</v>
      </c>
      <c r="X56" s="589" t="inlineStr">
        <is>
          <t>กระบวนการไม่ผ่าน (ผลิต)</t>
        </is>
      </c>
      <c r="Y56" s="466" t="inlineStr">
        <is>
          <t>Machine</t>
        </is>
      </c>
      <c r="Z56" s="532" t="inlineStr">
        <is>
          <t>center seal ไส้ wip ไม่แน่น</t>
        </is>
      </c>
      <c r="AA56" s="394" t="inlineStr">
        <is>
          <t>ไม่เข้าซ้ำ</t>
        </is>
      </c>
      <c r="AB56" s="394" t="n"/>
      <c r="AC56" s="510" t="n"/>
      <c r="AD56" s="467" t="n"/>
      <c r="AE56" s="467" t="n"/>
      <c r="AF56" s="467" t="n"/>
      <c r="AG56" s="467">
        <f>Table13[[#This Row],[วัน Pre-test 
run]]-Table13[[#This Row],[วันที่การตลาด
อนุมัติใบขอรหัส]]</f>
        <v/>
      </c>
      <c r="AH56" s="467" t="n"/>
      <c r="AI56" s="467">
        <f>Table13[[#This Row],[Lead 
time (วัน)]]-Table13[[#This Row],[จำนวนวัน
ที่รอ artwork (วัน)]]</f>
        <v/>
      </c>
      <c r="AJ56" s="468" t="n">
        <v>46064</v>
      </c>
      <c r="AK56" s="468" t="n">
        <v>46103</v>
      </c>
      <c r="AL56" s="435">
        <f>Table13[[#This Row],[Launch 
Date.]]-Table13[[#This Row],[วันที่การตลาดอนุมัติ
ใบขอรหัส.]]</f>
        <v/>
      </c>
      <c r="AM56" s="888" t="n">
        <v>46078</v>
      </c>
      <c r="AN56" s="435">
        <f>Table13[[#This Row],[Launch 
Date.]]-Table13[[#This Row],[วันที่ใบขอรหัสจบ(ภายใน)]]</f>
        <v/>
      </c>
      <c r="AO56" s="35" t="n"/>
      <c r="AP56" s="35" t="n">
        <v>1</v>
      </c>
      <c r="AQ56" s="35" t="n">
        <v>1</v>
      </c>
      <c r="AR56" s="469" t="inlineStr">
        <is>
          <t>All Store</t>
        </is>
      </c>
      <c r="AS56" s="436" t="n">
        <v>0</v>
      </c>
      <c r="AT56" s="436" t="n"/>
      <c r="AU56" s="436" t="n">
        <v>28.57</v>
      </c>
      <c r="AV56" s="436" t="n">
        <v>23.55</v>
      </c>
      <c r="AW56" s="470" t="n"/>
      <c r="AX56" s="885" t="n"/>
      <c r="AY56" s="886" t="n">
        <v>29.25</v>
      </c>
      <c r="AZ56" s="622" t="n">
        <v>26.99</v>
      </c>
      <c r="BA56" s="470" t="n"/>
      <c r="BB56" s="470" t="n"/>
      <c r="BC56" s="887" t="n"/>
      <c r="BD56" s="470" t="n"/>
      <c r="BE56" s="470" t="n"/>
      <c r="BF56" s="470" t="n"/>
      <c r="BG56" s="469" t="n"/>
      <c r="BH56" s="469" t="n"/>
      <c r="BI56" s="470">
        <f>AVERAGE(AW56:BH56)</f>
        <v/>
      </c>
      <c r="BJ56" s="470">
        <f>BI56-AU56</f>
        <v/>
      </c>
      <c r="BK56" s="413" t="n"/>
      <c r="BL56" s="410" t="n"/>
      <c r="BM56" s="474" t="n">
        <v>580</v>
      </c>
      <c r="BN56" s="486" t="n">
        <v>1</v>
      </c>
      <c r="BO56" s="385" t="n"/>
      <c r="BP56" s="385" t="n"/>
      <c r="BQ56" s="385" t="n"/>
      <c r="BR56" s="385" t="n"/>
      <c r="BS56" s="385" t="n"/>
      <c r="BT56" s="441" t="n">
        <v>0</v>
      </c>
      <c r="BU56" s="441" t="n">
        <v>0</v>
      </c>
      <c r="BV56" s="441" t="n">
        <v>5433350</v>
      </c>
      <c r="BW56" s="441" t="n">
        <v>19814185</v>
      </c>
      <c r="BX56" s="441" t="n"/>
      <c r="BY56" s="441" t="n"/>
      <c r="BZ56" s="441" t="n"/>
      <c r="CA56" s="441" t="n"/>
      <c r="CB56" s="441" t="n"/>
      <c r="CC56" s="441" t="n"/>
      <c r="CD56" s="441" t="n"/>
      <c r="CE56" s="441" t="n"/>
      <c r="CF56" s="880">
        <f>SUM(BT56:CE56)</f>
        <v/>
      </c>
    </row>
    <row r="57" ht="42" customFormat="1" customHeight="1" s="324">
      <c r="A57" s="464" t="n">
        <v>54</v>
      </c>
      <c r="B57" s="559" t="inlineStr">
        <is>
          <t>ข้าวเหนียว สเต็ก</t>
        </is>
      </c>
      <c r="C57" s="464" t="inlineStr">
        <is>
          <t>PMA22</t>
        </is>
      </c>
      <c r="D57" s="652" t="inlineStr">
        <is>
          <t>Q1</t>
        </is>
      </c>
      <c r="E57" s="545" t="inlineStr">
        <is>
          <t>Mar</t>
        </is>
      </c>
      <c r="F57" s="464" t="n">
        <v>90138912</v>
      </c>
      <c r="G57" s="611" t="inlineStr">
        <is>
          <t>ข้าวเหนียวหมูทอดอีซี่โก125gIMP26,7-11</t>
        </is>
      </c>
      <c r="H57" s="584" t="n">
        <v>1</v>
      </c>
      <c r="I57" s="560" t="inlineStr">
        <is>
          <t>all bu</t>
        </is>
      </c>
      <c r="J57" s="580" t="n">
        <v>0</v>
      </c>
      <c r="K57" s="465" t="n"/>
      <c r="L57" s="589" t="n">
        <v>100</v>
      </c>
      <c r="M57" s="589" t="n">
        <v>0</v>
      </c>
      <c r="N57" s="589" t="n">
        <v>1</v>
      </c>
      <c r="O57" s="587" t="n">
        <v>1</v>
      </c>
      <c r="P57" s="587" t="n">
        <v>0</v>
      </c>
      <c r="Q57" s="587" t="n">
        <v>0</v>
      </c>
      <c r="R57" s="589" t="n"/>
      <c r="S57" s="466" t="n"/>
      <c r="T57" s="525" t="n"/>
      <c r="U57" s="587" t="n">
        <v>0</v>
      </c>
      <c r="V57" s="587" t="n">
        <v>1</v>
      </c>
      <c r="W57" s="587" t="n">
        <v>0</v>
      </c>
      <c r="X57" s="466" t="n"/>
      <c r="Y57" s="466" t="n"/>
      <c r="Z57" s="532" t="n"/>
      <c r="AA57" s="394" t="n"/>
      <c r="AB57" s="394" t="n"/>
      <c r="AC57" s="510" t="n"/>
      <c r="AD57" s="467" t="n"/>
      <c r="AE57" s="467" t="n"/>
      <c r="AF57" s="467" t="n"/>
      <c r="AG57" s="467">
        <f>Table13[[#This Row],[วัน Pre-test 
run]]-Table13[[#This Row],[วันที่การตลาด
อนุมัติใบขอรหัส]]</f>
        <v/>
      </c>
      <c r="AH57" s="467" t="n"/>
      <c r="AI57" s="467">
        <f>Table13[[#This Row],[Lead 
time (วัน)]]-Table13[[#This Row],[จำนวนวัน
ที่รอ artwork (วัน)]]</f>
        <v/>
      </c>
      <c r="AJ57" s="468" t="n">
        <v>46071</v>
      </c>
      <c r="AK57" s="468" t="n">
        <v>46086</v>
      </c>
      <c r="AL57" s="435">
        <f>Table13[[#This Row],[Launch 
Date.]]-Table13[[#This Row],[วันที่การตลาดอนุมัติ
ใบขอรหัส.]]</f>
        <v/>
      </c>
      <c r="AM57" s="888" t="n">
        <v>46072</v>
      </c>
      <c r="AN57" s="435">
        <f>Table13[[#This Row],[Launch 
Date.]]-Table13[[#This Row],[วันที่ใบขอรหัสจบ(ภายใน)]]</f>
        <v/>
      </c>
      <c r="AO57" s="35" t="n"/>
      <c r="AP57" s="35" t="n">
        <v>1</v>
      </c>
      <c r="AQ57" s="35" t="n">
        <v>1</v>
      </c>
      <c r="AR57" s="469" t="inlineStr">
        <is>
          <t>All Store</t>
        </is>
      </c>
      <c r="AS57" s="436" t="n">
        <v>0</v>
      </c>
      <c r="AT57" s="436" t="n"/>
      <c r="AU57" s="436" t="n">
        <v>39.55</v>
      </c>
      <c r="AV57" s="436" t="n">
        <v>24</v>
      </c>
      <c r="AW57" s="470" t="n"/>
      <c r="AX57" s="885" t="n"/>
      <c r="AY57" s="886" t="n">
        <v>45.23</v>
      </c>
      <c r="AZ57" s="470" t="n">
        <v>38.66</v>
      </c>
      <c r="BA57" s="470" t="n"/>
      <c r="BB57" s="470" t="n"/>
      <c r="BC57" s="887" t="n"/>
      <c r="BD57" s="470" t="n"/>
      <c r="BE57" s="470" t="n"/>
      <c r="BF57" s="470" t="n"/>
      <c r="BG57" s="469" t="n"/>
      <c r="BH57" s="469" t="n"/>
      <c r="BI57" s="470">
        <f>AVERAGE(AW57:BH57)</f>
        <v/>
      </c>
      <c r="BJ57" s="470">
        <f>BI57-AU57</f>
        <v/>
      </c>
      <c r="BK57" s="413" t="n"/>
      <c r="BL57" s="410" t="n"/>
      <c r="BM57" s="474" t="n">
        <v>440</v>
      </c>
      <c r="BN57" s="486" t="n">
        <v>1</v>
      </c>
      <c r="BO57" s="385" t="n"/>
      <c r="BP57" s="385" t="n"/>
      <c r="BQ57" s="385" t="n"/>
      <c r="BR57" s="385" t="n"/>
      <c r="BS57" s="385" t="n"/>
      <c r="BT57" s="441" t="n">
        <v>0</v>
      </c>
      <c r="BU57" s="441" t="n">
        <v>0</v>
      </c>
      <c r="BV57" s="441" t="n">
        <v>12706191</v>
      </c>
      <c r="BW57" s="441" t="n">
        <v>16277561</v>
      </c>
      <c r="BX57" s="441" t="n"/>
      <c r="BY57" s="441" t="n"/>
      <c r="BZ57" s="441" t="n"/>
      <c r="CA57" s="441" t="n"/>
      <c r="CB57" s="441" t="n"/>
      <c r="CC57" s="441" t="n"/>
      <c r="CD57" s="441" t="n"/>
      <c r="CE57" s="441" t="n"/>
      <c r="CF57" s="880">
        <f>SUM(BT57:CE57)</f>
        <v/>
      </c>
    </row>
    <row r="58" ht="42" customFormat="1" customHeight="1" s="324">
      <c r="A58" s="464" t="n">
        <v>55</v>
      </c>
      <c r="B58" s="559" t="inlineStr">
        <is>
          <t>ติ่มซำ (นึ่ง)</t>
        </is>
      </c>
      <c r="C58" s="464" t="inlineStr">
        <is>
          <t>Export</t>
        </is>
      </c>
      <c r="D58" s="652" t="inlineStr">
        <is>
          <t>Q1</t>
        </is>
      </c>
      <c r="E58" s="464" t="inlineStr">
        <is>
          <t>Mar</t>
        </is>
      </c>
      <c r="F58" s="464" t="n">
        <v>90140511</v>
      </c>
      <c r="G58" s="611" t="inlineStr">
        <is>
          <t>Frozen Fully Steamed Pork Bun (Conan) 100 g</t>
        </is>
      </c>
      <c r="H58" s="584" t="n">
        <v>1</v>
      </c>
      <c r="I58" s="560" t="n">
        <v>2</v>
      </c>
      <c r="J58" s="580" t="n">
        <v>0</v>
      </c>
      <c r="K58" s="465" t="n"/>
      <c r="L58" s="588" t="n">
        <v>87.5</v>
      </c>
      <c r="M58" s="589" t="n">
        <v>1.33</v>
      </c>
      <c r="N58" s="589" t="n">
        <v>1</v>
      </c>
      <c r="O58" s="589" t="n">
        <v>1</v>
      </c>
      <c r="P58" s="589" t="n">
        <v>0</v>
      </c>
      <c r="Q58" s="589" t="n"/>
      <c r="R58" s="589" t="n"/>
      <c r="S58" s="466" t="n"/>
      <c r="T58" s="525" t="n"/>
      <c r="U58" s="466" t="n">
        <v>1</v>
      </c>
      <c r="V58" s="466" t="n"/>
      <c r="W58" s="466" t="n"/>
      <c r="X58" s="466" t="n"/>
      <c r="Y58" s="466" t="n"/>
      <c r="Z58" s="532" t="n"/>
      <c r="AA58" s="394" t="n"/>
      <c r="AB58" s="394" t="n"/>
      <c r="AC58" s="510" t="n">
        <v>46101</v>
      </c>
      <c r="AD58" s="510" t="n">
        <v>46035</v>
      </c>
      <c r="AE58" s="510" t="n">
        <v>46045</v>
      </c>
      <c r="AF58" s="510" t="n">
        <v>46087</v>
      </c>
      <c r="AG58" s="467">
        <f>Table13[[#This Row],[วัน Pre-test 
run]]-Table13[[#This Row],[วันที่การตลาด
อนุมัติใบขอรหัส]]</f>
        <v/>
      </c>
      <c r="AH58" s="467" t="n"/>
      <c r="AI58" s="467">
        <f>Table13[[#This Row],[Lead 
time (วัน)]]-Table13[[#This Row],[จำนวนวัน
ที่รอ artwork (วัน)]]</f>
        <v/>
      </c>
      <c r="AJ58" s="468" t="n"/>
      <c r="AK58" s="468" t="n"/>
      <c r="AL58" s="435" t="n"/>
      <c r="AM58" s="888" t="n"/>
      <c r="AN58" s="435" t="n"/>
      <c r="AO58" s="35" t="n">
        <v>1</v>
      </c>
      <c r="AP58" s="35" t="n"/>
      <c r="AQ58" s="35" t="n">
        <v>1</v>
      </c>
      <c r="AR58" s="469" t="inlineStr">
        <is>
          <t>ต่างประเทศ</t>
        </is>
      </c>
      <c r="AS58" s="436" t="n">
        <v>0</v>
      </c>
      <c r="AT58" s="436" t="n"/>
      <c r="AU58" s="436" t="n">
        <v>55.97</v>
      </c>
      <c r="AV58" s="436" t="n">
        <v>55.97</v>
      </c>
      <c r="AW58" s="470" t="n"/>
      <c r="AX58" s="885" t="n"/>
      <c r="AY58" s="886" t="n">
        <v>58.13</v>
      </c>
      <c r="AZ58" s="470" t="n"/>
      <c r="BA58" s="470" t="n"/>
      <c r="BB58" s="470" t="n"/>
      <c r="BC58" s="887" t="n"/>
      <c r="BD58" s="470" t="n"/>
      <c r="BE58" s="470" t="n"/>
      <c r="BF58" s="470" t="n"/>
      <c r="BG58" s="469" t="n"/>
      <c r="BH58" s="469" t="n"/>
      <c r="BI58" s="470">
        <f>AVERAGE(AW58:BH58)</f>
        <v/>
      </c>
      <c r="BJ58" s="470">
        <f>BI58-AU58</f>
        <v/>
      </c>
      <c r="BK58" s="413" t="n"/>
      <c r="BL58" s="410" t="n"/>
      <c r="BM58" s="521" t="inlineStr">
        <is>
          <t>ไม่ระบุ nutrition บน aw</t>
        </is>
      </c>
      <c r="BN58" s="488" t="n"/>
      <c r="BO58" s="385" t="n"/>
      <c r="BP58" s="385" t="n"/>
      <c r="BQ58" s="385" t="n"/>
      <c r="BR58" s="385" t="n"/>
      <c r="BS58" s="385" t="n"/>
      <c r="BT58" s="441" t="n">
        <v>0</v>
      </c>
      <c r="BU58" s="441" t="n">
        <v>0</v>
      </c>
      <c r="BV58" s="441" t="n">
        <v>896334</v>
      </c>
      <c r="BW58" s="441" t="n">
        <v>0</v>
      </c>
      <c r="BX58" s="441" t="n"/>
      <c r="BY58" s="441" t="n"/>
      <c r="BZ58" s="441" t="n"/>
      <c r="CA58" s="441" t="n"/>
      <c r="CB58" s="441" t="n"/>
      <c r="CC58" s="441" t="n"/>
      <c r="CD58" s="441" t="n"/>
      <c r="CE58" s="441" t="n"/>
      <c r="CF58" s="880">
        <f>SUM(BT58:CE58)</f>
        <v/>
      </c>
    </row>
    <row r="59" ht="42" customFormat="1" customHeight="1" s="324">
      <c r="A59" s="464" t="n">
        <v>56</v>
      </c>
      <c r="B59" s="559" t="inlineStr">
        <is>
          <t>เส้น (ข้าวไทย)</t>
        </is>
      </c>
      <c r="C59" s="464" t="inlineStr">
        <is>
          <t>PMA20</t>
        </is>
      </c>
      <c r="D59" s="652" t="inlineStr">
        <is>
          <t>Q1</t>
        </is>
      </c>
      <c r="E59" s="464" t="inlineStr">
        <is>
          <t>Mar</t>
        </is>
      </c>
      <c r="F59" s="582" t="n">
        <v>90139644</v>
      </c>
      <c r="G59" s="618" t="inlineStr">
        <is>
          <t>แจ่วฮ้อนหม่ำแซ่บ 170 g (ซุปเข้มข้น)</t>
        </is>
      </c>
      <c r="H59" s="584" t="n">
        <v>8</v>
      </c>
      <c r="I59" s="560" t="n">
        <v>1</v>
      </c>
      <c r="J59" s="580" t="n">
        <v>0</v>
      </c>
      <c r="K59" s="465" t="n"/>
      <c r="L59" s="588" t="n">
        <v>100</v>
      </c>
      <c r="M59" s="589" t="n">
        <v>0</v>
      </c>
      <c r="N59" s="589" t="n">
        <v>1</v>
      </c>
      <c r="O59" s="589" t="n">
        <v>1</v>
      </c>
      <c r="P59" s="589" t="n"/>
      <c r="Q59" s="589" t="n"/>
      <c r="R59" s="589" t="n"/>
      <c r="S59" s="466" t="n"/>
      <c r="T59" s="527" t="n"/>
      <c r="U59" s="466" t="n"/>
      <c r="V59" s="466" t="n"/>
      <c r="W59" s="466" t="n">
        <v>1</v>
      </c>
      <c r="X59" s="532" t="inlineStr">
        <is>
          <t>กระบวนการไม่ผ่าน (ผลิต)</t>
        </is>
      </c>
      <c r="Y59" s="466" t="inlineStr">
        <is>
          <t>Machine</t>
        </is>
      </c>
      <c r="Z59" s="527" t="inlineStr">
        <is>
          <t>เครื่องจักรไม่ได้ตามมาตรฐาน</t>
        </is>
      </c>
      <c r="AA59" s="394" t="inlineStr">
        <is>
          <t>เข้าซ้ำ</t>
        </is>
      </c>
      <c r="AB59" s="394" t="n"/>
      <c r="AC59" s="510" t="n"/>
      <c r="AD59" s="467" t="n"/>
      <c r="AE59" s="510" t="n"/>
      <c r="AF59" s="467" t="n"/>
      <c r="AG59" s="467">
        <f>Table13[[#This Row],[วัน Pre-test 
run]]-Table13[[#This Row],[วันที่การตลาด
อนุมัติใบขอรหัส]]</f>
        <v/>
      </c>
      <c r="AH59" s="467" t="n"/>
      <c r="AI59" s="467">
        <f>Table13[[#This Row],[Lead 
time (วัน)]]-Table13[[#This Row],[จำนวนวัน
ที่รอ artwork (วัน)]]</f>
        <v/>
      </c>
      <c r="AJ59" s="468" t="n">
        <v>46035</v>
      </c>
      <c r="AK59" s="468" t="n">
        <v>46107</v>
      </c>
      <c r="AL59" s="435">
        <f>Table13[[#This Row],[Launch 
Date.]]-Table13[[#This Row],[วันที่การตลาดอนุมัติ
ใบขอรหัส.]]</f>
        <v/>
      </c>
      <c r="AM59" s="888" t="n">
        <v>46056</v>
      </c>
      <c r="AN59" s="435">
        <f>Table13[[#This Row],[Launch 
Date.]]-Table13[[#This Row],[วันที่ใบขอรหัสจบ(ภายใน)]]</f>
        <v/>
      </c>
      <c r="AO59" s="35" t="n"/>
      <c r="AP59" s="35" t="n">
        <v>1</v>
      </c>
      <c r="AQ59" s="35" t="n">
        <v>1</v>
      </c>
      <c r="AR59" s="469" t="inlineStr">
        <is>
          <t>All Store</t>
        </is>
      </c>
      <c r="AS59" s="436" t="n">
        <v>0</v>
      </c>
      <c r="AT59" s="624" t="inlineStr">
        <is>
          <t>RM. LB cost สูงกว่าขอรหัส</t>
        </is>
      </c>
      <c r="AU59" s="436" t="n">
        <v>35</v>
      </c>
      <c r="AV59" s="436" t="n">
        <v>26.56</v>
      </c>
      <c r="AW59" s="470" t="n"/>
      <c r="AX59" s="885" t="n"/>
      <c r="AY59" s="890" t="n">
        <v>30.71</v>
      </c>
      <c r="AZ59" s="622" t="n">
        <v>30.46</v>
      </c>
      <c r="BA59" s="470" t="n"/>
      <c r="BB59" s="470" t="n"/>
      <c r="BC59" s="887" t="n"/>
      <c r="BD59" s="470" t="n"/>
      <c r="BE59" s="470" t="n"/>
      <c r="BF59" s="470" t="n"/>
      <c r="BG59" s="469" t="n"/>
      <c r="BH59" s="469" t="n"/>
      <c r="BI59" s="470">
        <f>AVERAGE(AW59:BH59)</f>
        <v/>
      </c>
      <c r="BJ59" s="470">
        <f>BI59-AU59</f>
        <v/>
      </c>
      <c r="BK59" s="413" t="n"/>
      <c r="BL59" s="410" t="n"/>
      <c r="BM59" s="474" t="n">
        <v>1560</v>
      </c>
      <c r="BN59" s="488" t="n"/>
      <c r="BO59" s="385" t="n"/>
      <c r="BP59" s="385" t="n"/>
      <c r="BQ59" s="385" t="n"/>
      <c r="BR59" s="385" t="n"/>
      <c r="BS59" s="385" t="n"/>
      <c r="BT59" s="441" t="n">
        <v>0</v>
      </c>
      <c r="BU59" s="441" t="n">
        <v>0</v>
      </c>
      <c r="BV59" s="441" t="n">
        <v>3259764</v>
      </c>
      <c r="BW59" s="441" t="n">
        <v>4779534</v>
      </c>
      <c r="BX59" s="441" t="n"/>
      <c r="BY59" s="441" t="n"/>
      <c r="BZ59" s="441" t="n"/>
      <c r="CA59" s="441" t="n"/>
      <c r="CB59" s="441" t="n"/>
      <c r="CC59" s="441" t="n"/>
      <c r="CD59" s="441" t="n"/>
      <c r="CE59" s="441" t="n"/>
      <c r="CF59" s="880">
        <f>SUM(BT59:CE59)</f>
        <v/>
      </c>
    </row>
    <row r="60" ht="42" customFormat="1" customHeight="1" s="324">
      <c r="A60" s="464" t="n">
        <v>57</v>
      </c>
      <c r="B60" s="559" t="inlineStr">
        <is>
          <t>เส้น (ข้าวไทย)</t>
        </is>
      </c>
      <c r="C60" s="544" t="inlineStr">
        <is>
          <t>PMA19</t>
        </is>
      </c>
      <c r="D60" s="652" t="inlineStr">
        <is>
          <t>Q1</t>
        </is>
      </c>
      <c r="E60" s="545" t="inlineStr">
        <is>
          <t>Mar</t>
        </is>
      </c>
      <c r="F60" s="464" t="n">
        <v>90138910</v>
      </c>
      <c r="G60" s="611" t="inlineStr">
        <is>
          <t xml:space="preserve">ผัดซีอิ๊วหมู 250g. LV 2026  </t>
        </is>
      </c>
      <c r="H60" s="584" t="n"/>
      <c r="I60" s="560" t="n">
        <v>4</v>
      </c>
      <c r="J60" s="580" t="n">
        <v>0</v>
      </c>
      <c r="K60" s="465" t="n"/>
      <c r="L60" s="588" t="n">
        <v>100</v>
      </c>
      <c r="M60" s="589" t="n">
        <v>0</v>
      </c>
      <c r="N60" s="589" t="n">
        <v>1</v>
      </c>
      <c r="O60" s="589" t="n"/>
      <c r="P60" s="589" t="n"/>
      <c r="Q60" s="589" t="n"/>
      <c r="R60" s="589" t="n"/>
      <c r="S60" s="466" t="n"/>
      <c r="T60" s="525" t="n"/>
      <c r="U60" s="466" t="n">
        <v>0</v>
      </c>
      <c r="V60" s="466" t="n"/>
      <c r="W60" s="466" t="n"/>
      <c r="X60" s="466" t="n"/>
      <c r="Y60" s="466" t="n"/>
      <c r="Z60" s="532" t="n"/>
      <c r="AA60" s="394" t="n"/>
      <c r="AB60" s="394" t="n"/>
      <c r="AC60" s="510" t="n"/>
      <c r="AD60" s="467" t="n"/>
      <c r="AE60" s="510" t="n"/>
      <c r="AF60" s="467" t="n"/>
      <c r="AG60" s="467">
        <f>Table13[[#This Row],[วัน Pre-test 
run]]-Table13[[#This Row],[วันที่การตลาด
อนุมัติใบขอรหัส]]</f>
        <v/>
      </c>
      <c r="AH60" s="467" t="n"/>
      <c r="AI60" s="467">
        <f>Table13[[#This Row],[Lead 
time (วัน)]]-Table13[[#This Row],[จำนวนวัน
ที่รอ artwork (วัน)]]</f>
        <v/>
      </c>
      <c r="AJ60" s="468" t="n">
        <v>46063</v>
      </c>
      <c r="AK60" s="468" t="n">
        <v>46093</v>
      </c>
      <c r="AL60" s="435">
        <f>Table13[[#This Row],[Launch 
Date.]]-Table13[[#This Row],[วันที่การตลาดอนุมัติ
ใบขอรหัส.]]</f>
        <v/>
      </c>
      <c r="AM60" s="468" t="n">
        <v>46072</v>
      </c>
      <c r="AN60" s="435">
        <f>Table13[[#This Row],[Launch 
Date.]]-Table13[[#This Row],[วันที่ใบขอรหัสจบ(ภายใน)]]</f>
        <v/>
      </c>
      <c r="AO60" s="35" t="n"/>
      <c r="AP60" s="35" t="n">
        <v>1</v>
      </c>
      <c r="AQ60" s="35" t="n">
        <v>1</v>
      </c>
      <c r="AR60" s="469" t="inlineStr">
        <is>
          <t>All Store</t>
        </is>
      </c>
      <c r="AS60" s="522" t="n">
        <v>0</v>
      </c>
      <c r="AT60" s="436" t="n"/>
      <c r="AU60" s="436" t="n">
        <v>31.34</v>
      </c>
      <c r="AV60" s="436" t="n">
        <v>18.21</v>
      </c>
      <c r="AW60" s="470" t="n"/>
      <c r="AX60" s="885" t="n"/>
      <c r="AY60" s="886" t="n">
        <v>35.32</v>
      </c>
      <c r="AZ60" s="470" t="n">
        <v>34.68</v>
      </c>
      <c r="BA60" s="470" t="n"/>
      <c r="BB60" s="470" t="n"/>
      <c r="BC60" s="887" t="n"/>
      <c r="BD60" s="470" t="n"/>
      <c r="BE60" s="470" t="n"/>
      <c r="BF60" s="470" t="n"/>
      <c r="BG60" s="469" t="n"/>
      <c r="BH60" s="469" t="n"/>
      <c r="BI60" s="470">
        <f>AVERAGE(AW60:BH60)</f>
        <v/>
      </c>
      <c r="BJ60" s="470">
        <f>BI60-AU60</f>
        <v/>
      </c>
      <c r="BK60" s="413" t="n"/>
      <c r="BL60" s="410" t="n"/>
      <c r="BM60" s="474" t="n">
        <v>1390</v>
      </c>
      <c r="BN60" s="486" t="n"/>
      <c r="BO60" s="385" t="n"/>
      <c r="BP60" s="385" t="n"/>
      <c r="BQ60" s="385" t="n"/>
      <c r="BR60" s="385" t="n"/>
      <c r="BS60" s="385" t="n"/>
      <c r="BT60" s="441" t="n">
        <v>0</v>
      </c>
      <c r="BU60" s="441" t="n">
        <v>0</v>
      </c>
      <c r="BV60" s="441" t="n">
        <v>26566532</v>
      </c>
      <c r="BW60" s="441" t="n">
        <v>43371499</v>
      </c>
      <c r="BX60" s="441" t="n"/>
      <c r="BY60" s="441" t="n"/>
      <c r="BZ60" s="441" t="n"/>
      <c r="CA60" s="441" t="n"/>
      <c r="CB60" s="441" t="n"/>
      <c r="CC60" s="441" t="n"/>
      <c r="CD60" s="441" t="n"/>
      <c r="CE60" s="441" t="n"/>
      <c r="CF60" s="880">
        <f>SUM(BT60:CE60)</f>
        <v/>
      </c>
    </row>
    <row r="61" ht="42" customFormat="1" customHeight="1" s="324">
      <c r="A61" s="464" t="n">
        <v>58</v>
      </c>
      <c r="B61" s="559" t="inlineStr">
        <is>
          <t>เส้น (ข้าวไทย)</t>
        </is>
      </c>
      <c r="C61" s="464" t="inlineStr">
        <is>
          <t>PMA20</t>
        </is>
      </c>
      <c r="D61" s="652" t="inlineStr">
        <is>
          <t>Q1</t>
        </is>
      </c>
      <c r="E61" s="464" t="inlineStr">
        <is>
          <t>Mar</t>
        </is>
      </c>
      <c r="F61" s="464" t="n">
        <v>90139688</v>
      </c>
      <c r="G61" s="611" t="inlineStr">
        <is>
          <t xml:space="preserve">ขนมจีนน้ำยาป่าลูกชิ้นปลา 285 กรัม IMP2026 </t>
        </is>
      </c>
      <c r="H61" s="584" t="n"/>
      <c r="I61" s="560" t="n">
        <v>1</v>
      </c>
      <c r="J61" s="580" t="n">
        <v>0</v>
      </c>
      <c r="K61" s="465" t="n"/>
      <c r="L61" s="588" t="n">
        <v>100</v>
      </c>
      <c r="M61" s="589" t="n">
        <v>0</v>
      </c>
      <c r="N61" s="589" t="n">
        <v>1</v>
      </c>
      <c r="O61" s="589" t="n"/>
      <c r="P61" s="589" t="n"/>
      <c r="Q61" s="589" t="n"/>
      <c r="R61" s="589" t="n"/>
      <c r="S61" s="466" t="n"/>
      <c r="T61" s="525" t="n"/>
      <c r="U61" s="466" t="n">
        <v>0</v>
      </c>
      <c r="V61" s="466" t="n"/>
      <c r="W61" s="466" t="n"/>
      <c r="X61" s="466" t="n"/>
      <c r="Y61" s="466" t="n"/>
      <c r="Z61" s="532" t="n"/>
      <c r="AA61" s="394" t="n"/>
      <c r="AB61" s="394" t="n"/>
      <c r="AC61" s="510" t="n"/>
      <c r="AD61" s="467" t="n"/>
      <c r="AE61" s="510" t="n"/>
      <c r="AF61" s="467" t="n"/>
      <c r="AG61" s="467">
        <f>Table13[[#This Row],[วัน Pre-test 
run]]-Table13[[#This Row],[วันที่การตลาด
อนุมัติใบขอรหัส]]</f>
        <v/>
      </c>
      <c r="AH61" s="467" t="n"/>
      <c r="AI61" s="467">
        <f>Table13[[#This Row],[Lead 
time (วัน)]]-Table13[[#This Row],[จำนวนวัน
ที่รอ artwork (วัน)]]</f>
        <v/>
      </c>
      <c r="AJ61" s="468" t="n">
        <v>46034</v>
      </c>
      <c r="AK61" s="468" t="n">
        <v>46100</v>
      </c>
      <c r="AL61" s="435">
        <f>Table13[[#This Row],[Launch 
Date.]]-Table13[[#This Row],[วันที่การตลาดอนุมัติ
ใบขอรหัส.]]</f>
        <v/>
      </c>
      <c r="AM61" s="468" t="n">
        <v>46044</v>
      </c>
      <c r="AN61" s="435">
        <f>Table13[[#This Row],[Launch 
Date.]]-Table13[[#This Row],[วันที่ใบขอรหัสจบ(ภายใน)]]</f>
        <v/>
      </c>
      <c r="AO61" s="35" t="n"/>
      <c r="AP61" s="35" t="n">
        <v>1</v>
      </c>
      <c r="AQ61" s="35" t="n">
        <v>1</v>
      </c>
      <c r="AR61" s="469" t="inlineStr">
        <is>
          <t>All Store</t>
        </is>
      </c>
      <c r="AS61" s="522" t="n">
        <v>0</v>
      </c>
      <c r="AT61" s="436" t="n"/>
      <c r="AU61" s="436" t="n">
        <v>14.3</v>
      </c>
      <c r="AV61" s="436" t="n">
        <v>14.3</v>
      </c>
      <c r="AW61" s="470" t="n"/>
      <c r="AX61" s="885" t="n"/>
      <c r="AY61" s="886" t="n">
        <v>20.67</v>
      </c>
      <c r="AZ61" s="470" t="n">
        <v>20.46</v>
      </c>
      <c r="BA61" s="470" t="n"/>
      <c r="BB61" s="470" t="n"/>
      <c r="BC61" s="887" t="n"/>
      <c r="BD61" s="470" t="n"/>
      <c r="BE61" s="470" t="n"/>
      <c r="BF61" s="470" t="n"/>
      <c r="BG61" s="469" t="n"/>
      <c r="BH61" s="469" t="n"/>
      <c r="BI61" s="470">
        <f>AVERAGE(AW61:BH61)</f>
        <v/>
      </c>
      <c r="BJ61" s="470">
        <f>BI61-AU61</f>
        <v/>
      </c>
      <c r="BK61" s="413" t="n"/>
      <c r="BL61" s="410" t="n"/>
      <c r="BM61" s="474" t="n">
        <v>1350</v>
      </c>
      <c r="BN61" s="486" t="n"/>
      <c r="BO61" s="385" t="n"/>
      <c r="BP61" s="385" t="n"/>
      <c r="BQ61" s="385" t="n"/>
      <c r="BR61" s="385" t="n"/>
      <c r="BS61" s="385" t="n"/>
      <c r="BT61" s="441" t="n">
        <v>0</v>
      </c>
      <c r="BU61" s="441" t="n">
        <v>0</v>
      </c>
      <c r="BV61" s="441" t="n">
        <v>2370986</v>
      </c>
      <c r="BW61" s="441" t="n">
        <v>3259591</v>
      </c>
      <c r="BX61" s="441" t="n"/>
      <c r="BY61" s="441" t="n"/>
      <c r="BZ61" s="441" t="n"/>
      <c r="CA61" s="441" t="n"/>
      <c r="CB61" s="441" t="n"/>
      <c r="CC61" s="441" t="n"/>
      <c r="CD61" s="441" t="n"/>
      <c r="CE61" s="441" t="n"/>
      <c r="CF61" s="880">
        <f>SUM(BT61:CE61)</f>
        <v/>
      </c>
    </row>
    <row r="62" ht="42" customFormat="1" customHeight="1" s="324">
      <c r="A62" s="464" t="n">
        <v>59</v>
      </c>
      <c r="B62" s="559" t="inlineStr">
        <is>
          <t xml:space="preserve">เส้น (แป้งสาลี) ซุป </t>
        </is>
      </c>
      <c r="C62" s="464" t="inlineStr">
        <is>
          <t>PMA20</t>
        </is>
      </c>
      <c r="D62" s="652" t="inlineStr">
        <is>
          <t>Q1</t>
        </is>
      </c>
      <c r="E62" s="464" t="inlineStr">
        <is>
          <t>Mar</t>
        </is>
      </c>
      <c r="F62" s="464" t="n">
        <v>90139639</v>
      </c>
      <c r="G62" s="611" t="inlineStr">
        <is>
          <t>เกี๊ยวน้ำหมู 190 กรัม IMP2025, Frozen</t>
        </is>
      </c>
      <c r="H62" s="584" t="n"/>
      <c r="I62" s="560" t="n">
        <v>1</v>
      </c>
      <c r="J62" s="580" t="n">
        <v>0</v>
      </c>
      <c r="K62" s="465" t="n"/>
      <c r="L62" s="588" t="n">
        <v>100</v>
      </c>
      <c r="M62" s="589" t="n">
        <v>0</v>
      </c>
      <c r="N62" s="589" t="n">
        <v>1</v>
      </c>
      <c r="O62" s="589" t="n"/>
      <c r="P62" s="589" t="n"/>
      <c r="Q62" s="589" t="n"/>
      <c r="R62" s="589" t="n"/>
      <c r="S62" s="466" t="n"/>
      <c r="T62" s="525" t="n"/>
      <c r="U62" s="466" t="n"/>
      <c r="V62" s="466" t="n">
        <v>1</v>
      </c>
      <c r="W62" s="466" t="n"/>
      <c r="X62" s="466" t="inlineStr">
        <is>
          <t>สินค้าไม่ผ่าน</t>
        </is>
      </c>
      <c r="Y62" s="466" t="inlineStr">
        <is>
          <t>Material</t>
        </is>
      </c>
      <c r="Z62" s="531" t="inlineStr">
        <is>
          <t>เฉดสีฟักทองอ่อน
กว่ามาตรฐาน ทำให้สีของสินค้าอ่อนกว่ามาตรฐาน</t>
        </is>
      </c>
      <c r="AA62" s="394" t="n"/>
      <c r="AB62" s="394" t="n"/>
      <c r="AC62" s="510" t="n"/>
      <c r="AD62" s="467" t="n"/>
      <c r="AE62" s="510" t="n"/>
      <c r="AF62" s="467" t="n"/>
      <c r="AG62" s="467">
        <f>Table13[[#This Row],[วัน Pre-test 
run]]-Table13[[#This Row],[วันที่การตลาด
อนุมัติใบขอรหัส]]</f>
        <v/>
      </c>
      <c r="AH62" s="467" t="n"/>
      <c r="AI62" s="467">
        <f>Table13[[#This Row],[Lead 
time (วัน)]]-Table13[[#This Row],[จำนวนวัน
ที่รอ artwork (วัน)]]</f>
        <v/>
      </c>
      <c r="AJ62" s="468" t="n">
        <v>45706</v>
      </c>
      <c r="AK62" s="468" t="n">
        <v>45827</v>
      </c>
      <c r="AL62" s="435">
        <f>Table13[[#This Row],[Launch 
Date.]]-Table13[[#This Row],[วันที่การตลาดอนุมัติ
ใบขอรหัส.]]</f>
        <v/>
      </c>
      <c r="AM62" s="509" t="n">
        <v>45742</v>
      </c>
      <c r="AN62" s="435">
        <f>Table13[[#This Row],[Launch 
Date.]]-Table13[[#This Row],[วันที่ใบขอรหัสจบ(ภายใน)]]</f>
        <v/>
      </c>
      <c r="AO62" s="35" t="n"/>
      <c r="AP62" s="35" t="n">
        <v>1</v>
      </c>
      <c r="AQ62" s="35" t="n">
        <v>1</v>
      </c>
      <c r="AR62" s="469" t="inlineStr">
        <is>
          <t>All Store</t>
        </is>
      </c>
      <c r="AS62" s="522" t="n">
        <v>0</v>
      </c>
      <c r="AT62" s="436" t="n"/>
      <c r="AU62" s="436" t="n">
        <v>30.84</v>
      </c>
      <c r="AV62" s="436" t="n">
        <v>25.05</v>
      </c>
      <c r="AW62" s="470" t="n"/>
      <c r="AX62" s="885" t="n"/>
      <c r="AY62" s="886" t="n">
        <v>44.44</v>
      </c>
      <c r="AZ62" s="470" t="n">
        <v>43.96</v>
      </c>
      <c r="BA62" s="470" t="n"/>
      <c r="BB62" s="470" t="n"/>
      <c r="BC62" s="887" t="n"/>
      <c r="BD62" s="470" t="n"/>
      <c r="BE62" s="470" t="n"/>
      <c r="BF62" s="470" t="n"/>
      <c r="BG62" s="469" t="n"/>
      <c r="BH62" s="469" t="n"/>
      <c r="BI62" s="470">
        <f>AVERAGE(AW62:BH62)</f>
        <v/>
      </c>
      <c r="BJ62" s="470">
        <f>BI62-AU62</f>
        <v/>
      </c>
      <c r="BK62" s="413" t="n"/>
      <c r="BL62" s="410" t="n"/>
      <c r="BM62" s="474" t="n">
        <v>1310</v>
      </c>
      <c r="BN62" s="486" t="n"/>
      <c r="BO62" s="385" t="n"/>
      <c r="BP62" s="385" t="n"/>
      <c r="BQ62" s="385" t="n"/>
      <c r="BR62" s="385" t="n"/>
      <c r="BS62" s="385" t="n"/>
      <c r="BT62" s="441" t="n">
        <v>0</v>
      </c>
      <c r="BU62" s="441" t="n">
        <v>0</v>
      </c>
      <c r="BV62" s="441" t="n">
        <v>5400626</v>
      </c>
      <c r="BW62" s="441" t="n">
        <v>10028358</v>
      </c>
      <c r="BX62" s="441" t="n"/>
      <c r="BY62" s="441" t="n"/>
      <c r="BZ62" s="441" t="n"/>
      <c r="CA62" s="441" t="n"/>
      <c r="CB62" s="441" t="n"/>
      <c r="CC62" s="441" t="n"/>
      <c r="CD62" s="441" t="n"/>
      <c r="CE62" s="441" t="n"/>
      <c r="CF62" s="880">
        <f>SUM(BT62:CE62)</f>
        <v/>
      </c>
    </row>
    <row r="63" ht="42" customFormat="1" customHeight="1" s="324">
      <c r="A63" s="464" t="n">
        <v>60</v>
      </c>
      <c r="B63" s="559" t="inlineStr">
        <is>
          <t xml:space="preserve">เส้น (แป้งสาลี) ซุป </t>
        </is>
      </c>
      <c r="C63" s="464" t="inlineStr">
        <is>
          <t>non-7</t>
        </is>
      </c>
      <c r="D63" s="652" t="inlineStr">
        <is>
          <t>Q1</t>
        </is>
      </c>
      <c r="E63" s="464" t="inlineStr">
        <is>
          <t>Mar</t>
        </is>
      </c>
      <c r="F63" s="464" t="n">
        <v>90139672</v>
      </c>
      <c r="G63" s="611" t="inlineStr">
        <is>
          <t>สปาเก็ตตี้ไส้กรอกผัดพริกแห้ง, เดลิกาเซีย</t>
        </is>
      </c>
      <c r="H63" s="584" t="n">
        <v>2</v>
      </c>
      <c r="I63" s="560" t="n">
        <v>1</v>
      </c>
      <c r="J63" s="580" t="n">
        <v>0</v>
      </c>
      <c r="K63" s="465" t="n"/>
      <c r="L63" s="588" t="n">
        <v>100</v>
      </c>
      <c r="M63" s="589" t="n">
        <v>0</v>
      </c>
      <c r="N63" s="589" t="n">
        <v>1</v>
      </c>
      <c r="O63" s="589" t="n"/>
      <c r="P63" s="589" t="n"/>
      <c r="Q63" s="589" t="n"/>
      <c r="R63" s="589" t="n"/>
      <c r="S63" s="466" t="n"/>
      <c r="T63" s="525" t="n"/>
      <c r="U63" s="466" t="n">
        <v>0</v>
      </c>
      <c r="V63" s="466" t="n"/>
      <c r="W63" s="466" t="n"/>
      <c r="X63" s="466" t="n"/>
      <c r="Y63" s="466" t="n"/>
      <c r="Z63" s="532" t="n"/>
      <c r="AA63" s="394" t="n"/>
      <c r="AB63" s="394" t="n"/>
      <c r="AC63" s="510" t="n"/>
      <c r="AD63" s="467" t="n"/>
      <c r="AE63" s="510" t="n"/>
      <c r="AF63" s="467" t="n"/>
      <c r="AG63" s="467">
        <f>Table13[[#This Row],[วัน Pre-test 
run]]-Table13[[#This Row],[วันที่การตลาด
อนุมัติใบขอรหัส]]</f>
        <v/>
      </c>
      <c r="AH63" s="467" t="n"/>
      <c r="AI63" s="467">
        <f>Table13[[#This Row],[Lead 
time (วัน)]]-Table13[[#This Row],[จำนวนวัน
ที่รอ artwork (วัน)]]</f>
        <v/>
      </c>
      <c r="AJ63" s="468" t="n">
        <v>45933</v>
      </c>
      <c r="AK63" s="468" t="n">
        <v>45964</v>
      </c>
      <c r="AL63" s="435">
        <f>Table13[[#This Row],[Launch 
Date.]]-Table13[[#This Row],[วันที่การตลาดอนุมัติ
ใบขอรหัส.]]</f>
        <v/>
      </c>
      <c r="AM63" s="509" t="n">
        <v>45941</v>
      </c>
      <c r="AN63" s="435">
        <f>Table13[[#This Row],[Launch 
Date.]]-Table13[[#This Row],[วันที่ใบขอรหัสจบ(ภายใน)]]</f>
        <v/>
      </c>
      <c r="AO63" s="35" t="n">
        <v>1</v>
      </c>
      <c r="AP63" s="35" t="n"/>
      <c r="AQ63" s="35" t="n">
        <v>1</v>
      </c>
      <c r="AR63" s="469" t="n"/>
      <c r="AS63" s="522" t="n">
        <v>0</v>
      </c>
      <c r="AT63" s="436" t="n"/>
      <c r="AU63" s="436" t="n">
        <v>50.28</v>
      </c>
      <c r="AV63" s="436" t="n">
        <v>50.15</v>
      </c>
      <c r="AW63" s="470" t="n"/>
      <c r="AX63" s="885" t="n"/>
      <c r="AY63" s="886" t="n">
        <v>59.51</v>
      </c>
      <c r="AZ63" s="470" t="n">
        <v>59.22</v>
      </c>
      <c r="BA63" s="470" t="n"/>
      <c r="BB63" s="470" t="n"/>
      <c r="BC63" s="887" t="n"/>
      <c r="BD63" s="470" t="n"/>
      <c r="BE63" s="470" t="n"/>
      <c r="BF63" s="470" t="n"/>
      <c r="BG63" s="469" t="n"/>
      <c r="BH63" s="469" t="n"/>
      <c r="BI63" s="470">
        <f>AVERAGE(AW63:BH63)</f>
        <v/>
      </c>
      <c r="BJ63" s="470">
        <f>BI63-AU63</f>
        <v/>
      </c>
      <c r="BK63" s="413" t="n"/>
      <c r="BL63" s="410" t="n"/>
      <c r="BM63" s="521" t="inlineStr">
        <is>
          <t>ไม่ระบุ nutrition บน aw</t>
        </is>
      </c>
      <c r="BN63" s="488" t="n"/>
      <c r="BO63" s="385" t="n"/>
      <c r="BP63" s="385" t="n"/>
      <c r="BQ63" s="385" t="n"/>
      <c r="BR63" s="385" t="n"/>
      <c r="BS63" s="385" t="n"/>
      <c r="BT63" s="441" t="n">
        <v>0</v>
      </c>
      <c r="BU63" s="441" t="n">
        <v>0</v>
      </c>
      <c r="BV63" s="441" t="n">
        <v>3600</v>
      </c>
      <c r="BW63" s="441" t="n">
        <v>56400</v>
      </c>
      <c r="BX63" s="441" t="n"/>
      <c r="BY63" s="441" t="n"/>
      <c r="BZ63" s="441" t="n"/>
      <c r="CA63" s="441" t="n"/>
      <c r="CB63" s="441" t="n"/>
      <c r="CC63" s="441" t="n"/>
      <c r="CD63" s="441" t="n"/>
      <c r="CE63" s="441" t="n"/>
      <c r="CF63" s="880">
        <f>SUM(BT63:CE63)</f>
        <v/>
      </c>
    </row>
    <row r="64" ht="42" customFormat="1" customHeight="1" s="324">
      <c r="A64" s="464" t="n">
        <v>61</v>
      </c>
      <c r="B64" s="559" t="inlineStr">
        <is>
          <t>ข้าวปั้น เครื่องเคียง</t>
        </is>
      </c>
      <c r="C64" s="464" t="inlineStr">
        <is>
          <t>PMA19</t>
        </is>
      </c>
      <c r="D64" s="652" t="inlineStr">
        <is>
          <t>Q1</t>
        </is>
      </c>
      <c r="E64" s="464" t="inlineStr">
        <is>
          <t>Mar</t>
        </is>
      </c>
      <c r="F64" s="464" t="n">
        <v>90138877</v>
      </c>
      <c r="G64" s="611" t="inlineStr">
        <is>
          <t>สาหร่ายวากาเมะน้ำมันงา 55 กรัม, Chilled</t>
        </is>
      </c>
      <c r="H64" s="584" t="n">
        <v>2</v>
      </c>
      <c r="I64" s="560" t="inlineStr">
        <is>
          <t>ALL</t>
        </is>
      </c>
      <c r="J64" s="580" t="n">
        <v>1</v>
      </c>
      <c r="K64" s="569" t="inlineStr">
        <is>
          <t>เลื่อนจาก 27/11/2025 เนื่องจาก RM สำหร่ายวากาเมะไม่ผ่าน</t>
        </is>
      </c>
      <c r="L64" s="588" t="n">
        <v>100</v>
      </c>
      <c r="M64" s="589" t="n">
        <v>0</v>
      </c>
      <c r="N64" s="589" t="n">
        <v>1</v>
      </c>
      <c r="O64" s="589" t="n"/>
      <c r="P64" s="589" t="n">
        <v>1</v>
      </c>
      <c r="Q64" s="589" t="n"/>
      <c r="R64" s="589" t="n"/>
      <c r="S64" s="466" t="n"/>
      <c r="T64" s="525" t="n"/>
      <c r="U64" s="466" t="n">
        <v>1</v>
      </c>
      <c r="V64" s="466" t="n"/>
      <c r="W64" s="466" t="n"/>
      <c r="X64" s="466" t="n"/>
      <c r="Y64" s="466" t="n"/>
      <c r="Z64" s="532" t="n"/>
      <c r="AA64" s="394" t="n"/>
      <c r="AB64" s="394" t="n"/>
      <c r="AC64" s="510" t="n"/>
      <c r="AD64" s="467" t="n"/>
      <c r="AE64" s="510" t="n"/>
      <c r="AF64" s="467" t="n"/>
      <c r="AG64" s="467">
        <f>Table13[[#This Row],[วัน Pre-test 
run]]-Table13[[#This Row],[วันที่การตลาด
อนุมัติใบขอรหัส]]</f>
        <v/>
      </c>
      <c r="AH64" s="467" t="n"/>
      <c r="AI64" s="467">
        <f>Table13[[#This Row],[Lead 
time (วัน)]]-Table13[[#This Row],[จำนวนวัน
ที่รอ artwork (วัน)]]</f>
        <v/>
      </c>
      <c r="AJ64" s="468" t="n">
        <v>45938</v>
      </c>
      <c r="AK64" s="468" t="n">
        <v>46086</v>
      </c>
      <c r="AL64" s="435" t="n">
        <v>103</v>
      </c>
      <c r="AM64" s="509" t="n">
        <v>45968</v>
      </c>
      <c r="AN64" s="435" t="n">
        <v>73</v>
      </c>
      <c r="AO64" s="35" t="n">
        <v>1</v>
      </c>
      <c r="AP64" s="35" t="n"/>
      <c r="AQ64" s="35" t="n">
        <v>1</v>
      </c>
      <c r="AR64" s="469" t="inlineStr">
        <is>
          <t>All Store</t>
        </is>
      </c>
      <c r="AS64" s="436" t="n">
        <v>0</v>
      </c>
      <c r="AT64" s="436" t="n"/>
      <c r="AU64" s="436" t="n">
        <v>30.79</v>
      </c>
      <c r="AV64" s="436" t="n">
        <v>12.9</v>
      </c>
      <c r="AW64" s="470" t="n"/>
      <c r="AX64" s="885" t="n"/>
      <c r="AY64" s="886" t="n">
        <v>31.46</v>
      </c>
      <c r="AZ64" s="622" t="n">
        <v>29.39</v>
      </c>
      <c r="BA64" s="470" t="n"/>
      <c r="BB64" s="470" t="n"/>
      <c r="BC64" s="887" t="n"/>
      <c r="BD64" s="470" t="n"/>
      <c r="BE64" s="470" t="n"/>
      <c r="BF64" s="470" t="n"/>
      <c r="BG64" s="469" t="n"/>
      <c r="BH64" s="469" t="n"/>
      <c r="BI64" s="470">
        <f>AVERAGE(AW64:BH64)</f>
        <v/>
      </c>
      <c r="BJ64" s="470">
        <f>BI64-AU64</f>
        <v/>
      </c>
      <c r="BK64" s="413" t="n"/>
      <c r="BL64" s="410" t="n"/>
      <c r="BM64" s="521" t="inlineStr">
        <is>
          <t>ไม่ระบุ nutrition บน aw</t>
        </is>
      </c>
      <c r="BN64" s="488" t="n"/>
      <c r="BO64" s="385" t="n"/>
      <c r="BP64" s="385" t="n"/>
      <c r="BQ64" s="385" t="n"/>
      <c r="BR64" s="385" t="n"/>
      <c r="BS64" s="385" t="n"/>
      <c r="BT64" s="441" t="n">
        <v>0</v>
      </c>
      <c r="BU64" s="441" t="n">
        <v>0</v>
      </c>
      <c r="BV64" s="441" t="n">
        <v>8482102</v>
      </c>
      <c r="BW64" s="626" t="n">
        <v>8820224</v>
      </c>
      <c r="BX64" s="441" t="n"/>
      <c r="BY64" s="441" t="n"/>
      <c r="BZ64" s="441" t="n"/>
      <c r="CA64" s="441" t="n"/>
      <c r="CB64" s="441" t="n"/>
      <c r="CC64" s="441" t="n"/>
      <c r="CD64" s="441" t="n"/>
      <c r="CE64" s="441" t="n"/>
      <c r="CF64" s="880">
        <f>SUM(BT64:CE64)</f>
        <v/>
      </c>
    </row>
    <row r="65" ht="42" customFormat="1" customHeight="1" s="324">
      <c r="A65" s="464" t="n">
        <v>62</v>
      </c>
      <c r="B65" s="559" t="inlineStr">
        <is>
          <t>ข้าวและกับข้าว</t>
        </is>
      </c>
      <c r="C65" s="464" t="inlineStr">
        <is>
          <t>PMA20</t>
        </is>
      </c>
      <c r="D65" s="652" t="inlineStr">
        <is>
          <t>Q2</t>
        </is>
      </c>
      <c r="E65" s="464" t="inlineStr">
        <is>
          <t>Apr</t>
        </is>
      </c>
      <c r="F65" s="464" t="n">
        <v>90139693</v>
      </c>
      <c r="G65" s="611" t="inlineStr">
        <is>
          <t>ข้าวไก่ย่างปลาร้าซอสจิ้มแจ่ว300g,IMP26</t>
        </is>
      </c>
      <c r="H65" s="584" t="n">
        <v>5</v>
      </c>
      <c r="I65" s="560" t="n">
        <v>3</v>
      </c>
      <c r="J65" s="580" t="n">
        <v>0</v>
      </c>
      <c r="K65" s="465" t="n"/>
      <c r="L65" s="588" t="n">
        <v>100</v>
      </c>
      <c r="M65" s="589" t="n">
        <v>0</v>
      </c>
      <c r="N65" s="589" t="n">
        <v>1</v>
      </c>
      <c r="O65" s="589" t="n">
        <v>1</v>
      </c>
      <c r="P65" s="589" t="n"/>
      <c r="Q65" s="589" t="n"/>
      <c r="R65" s="589" t="n"/>
      <c r="S65" s="466" t="n"/>
      <c r="T65" s="525" t="n"/>
      <c r="U65" s="466" t="n">
        <v>1</v>
      </c>
      <c r="V65" s="466" t="n"/>
      <c r="W65" s="466" t="n"/>
      <c r="X65" s="466" t="n"/>
      <c r="Y65" s="466" t="n"/>
      <c r="Z65" s="532" t="n"/>
      <c r="AA65" s="394" t="n"/>
      <c r="AB65" s="394" t="n"/>
      <c r="AC65" s="510" t="n"/>
      <c r="AD65" s="467" t="n"/>
      <c r="AE65" s="510" t="n"/>
      <c r="AF65" s="467" t="n"/>
      <c r="AG65" s="467">
        <f>Table13[[#This Row],[วัน Pre-test 
run]]-Table13[[#This Row],[วันที่การตลาด
อนุมัติใบขอรหัส]]</f>
        <v/>
      </c>
      <c r="AH65" s="467" t="n"/>
      <c r="AI65" s="467">
        <f>Table13[[#This Row],[Lead 
time (วัน)]]-Table13[[#This Row],[จำนวนวัน
ที่รอ artwork (วัน)]]</f>
        <v/>
      </c>
      <c r="AJ65" s="468" t="n">
        <v>46078</v>
      </c>
      <c r="AK65" s="468" t="n">
        <v>46111</v>
      </c>
      <c r="AL65" s="435">
        <f>Table13[[#This Row],[Launch 
Date.]]-Table13[[#This Row],[วันที่การตลาดอนุมัติ
ใบขอรหัส.]]</f>
        <v/>
      </c>
      <c r="AM65" s="509" t="n">
        <v>46086</v>
      </c>
      <c r="AN65" s="435">
        <f>Table13[[#This Row],[Launch 
Date.]]-Table13[[#This Row],[วันที่ใบขอรหัสจบ(ภายใน)]]</f>
        <v/>
      </c>
      <c r="AO65" s="35" t="n"/>
      <c r="AP65" s="35" t="n">
        <v>1</v>
      </c>
      <c r="AQ65" s="35" t="n">
        <v>1</v>
      </c>
      <c r="AR65" s="469" t="inlineStr">
        <is>
          <t>All Store</t>
        </is>
      </c>
      <c r="AS65" s="436" t="n">
        <v>0</v>
      </c>
      <c r="AT65" s="624" t="inlineStr">
        <is>
          <t>ราคา RM LB Cost สูงกว่าใบขอรหัส</t>
        </is>
      </c>
      <c r="AU65" s="436" t="n">
        <v>24.25</v>
      </c>
      <c r="AV65" s="522" t="n">
        <v>7.05</v>
      </c>
      <c r="AW65" s="470" t="n"/>
      <c r="AX65" s="885" t="n"/>
      <c r="AY65" s="886" t="n"/>
      <c r="AZ65" s="622" t="n">
        <v>21.31</v>
      </c>
      <c r="BA65" s="470" t="n"/>
      <c r="BB65" s="470" t="n"/>
      <c r="BC65" s="887" t="n"/>
      <c r="BD65" s="470" t="n"/>
      <c r="BE65" s="470" t="n"/>
      <c r="BF65" s="470" t="n"/>
      <c r="BG65" s="469" t="n"/>
      <c r="BH65" s="469" t="n"/>
      <c r="BI65" s="470">
        <f>AVERAGE(AW65:BH65)</f>
        <v/>
      </c>
      <c r="BJ65" s="470">
        <f>BI65-AU65</f>
        <v/>
      </c>
      <c r="BK65" s="413" t="n"/>
      <c r="BL65" s="410" t="n"/>
      <c r="BM65" s="623" t="n">
        <v>1370</v>
      </c>
      <c r="BN65" s="488" t="n"/>
      <c r="BO65" s="385" t="n"/>
      <c r="BP65" s="385" t="n"/>
      <c r="BQ65" s="385" t="n"/>
      <c r="BR65" s="385" t="n"/>
      <c r="BS65" s="385" t="n"/>
      <c r="BT65" s="441" t="n">
        <v>0</v>
      </c>
      <c r="BU65" s="441" t="n">
        <v>0</v>
      </c>
      <c r="BV65" s="892" t="n">
        <v>2243955</v>
      </c>
      <c r="BW65" s="883" t="n">
        <v>3492065</v>
      </c>
      <c r="BX65" s="441" t="n"/>
      <c r="BY65" s="441" t="n"/>
      <c r="BZ65" s="441" t="n"/>
      <c r="CA65" s="441" t="n"/>
      <c r="CB65" s="441" t="n"/>
      <c r="CC65" s="441" t="n"/>
      <c r="CD65" s="441" t="n"/>
      <c r="CE65" s="441" t="n"/>
      <c r="CF65" s="880">
        <f>SUM(BT65:CE65)</f>
        <v/>
      </c>
    </row>
    <row r="66" ht="42" customFormat="1" customHeight="1" s="324">
      <c r="A66" s="464" t="n">
        <v>63</v>
      </c>
      <c r="B66" s="559" t="inlineStr">
        <is>
          <t>กับข้าว</t>
        </is>
      </c>
      <c r="C66" s="464" t="inlineStr">
        <is>
          <t>PMA20</t>
        </is>
      </c>
      <c r="D66" s="652" t="inlineStr">
        <is>
          <t>Q2</t>
        </is>
      </c>
      <c r="E66" s="464" t="inlineStr">
        <is>
          <t>Apr</t>
        </is>
      </c>
      <c r="F66" s="464" t="n">
        <v>90139694</v>
      </c>
      <c r="G66" s="611" t="inlineStr">
        <is>
          <t>ซุปผักสไตล์ลาว 160 กรัม, Frozen</t>
        </is>
      </c>
      <c r="H66" s="584" t="n">
        <v>4</v>
      </c>
      <c r="I66" s="560" t="n">
        <v>3</v>
      </c>
      <c r="J66" s="580" t="n">
        <v>0</v>
      </c>
      <c r="K66" s="465" t="n"/>
      <c r="L66" s="588" t="n">
        <v>100</v>
      </c>
      <c r="M66" s="589" t="n">
        <v>0</v>
      </c>
      <c r="N66" s="589" t="n">
        <v>1</v>
      </c>
      <c r="O66" s="589" t="n">
        <v>1</v>
      </c>
      <c r="P66" s="589" t="n"/>
      <c r="Q66" s="589" t="n"/>
      <c r="R66" s="589" t="n"/>
      <c r="S66" s="466" t="n"/>
      <c r="T66" s="525" t="n"/>
      <c r="U66" s="466" t="n">
        <v>1</v>
      </c>
      <c r="V66" s="466" t="n"/>
      <c r="W66" s="466" t="n"/>
      <c r="X66" s="466" t="n"/>
      <c r="Y66" s="466" t="n"/>
      <c r="Z66" s="532" t="n"/>
      <c r="AA66" s="394" t="n"/>
      <c r="AB66" s="394" t="n"/>
      <c r="AC66" s="510" t="n"/>
      <c r="AD66" s="467" t="n"/>
      <c r="AE66" s="510" t="n"/>
      <c r="AF66" s="467" t="n"/>
      <c r="AG66" s="467">
        <f>Table13[[#This Row],[วัน Pre-test 
run]]-Table13[[#This Row],[วันที่การตลาด
อนุมัติใบขอรหัส]]</f>
        <v/>
      </c>
      <c r="AH66" s="467" t="n"/>
      <c r="AI66" s="467">
        <f>Table13[[#This Row],[Lead 
time (วัน)]]-Table13[[#This Row],[จำนวนวัน
ที่รอ artwork (วัน)]]</f>
        <v/>
      </c>
      <c r="AJ66" s="468" t="n">
        <v>46064</v>
      </c>
      <c r="AK66" s="468" t="n">
        <v>46118</v>
      </c>
      <c r="AL66" s="435">
        <f>Table13[[#This Row],[Launch 
Date.]]-Table13[[#This Row],[วันที่การตลาดอนุมัติ
ใบขอรหัส.]]</f>
        <v/>
      </c>
      <c r="AM66" s="509" t="n">
        <v>46086</v>
      </c>
      <c r="AN66" s="435">
        <f>Table13[[#This Row],[Launch 
Date.]]-Table13[[#This Row],[วันที่ใบขอรหัสจบ(ภายใน)]]</f>
        <v/>
      </c>
      <c r="AO66" s="35" t="n">
        <v>1</v>
      </c>
      <c r="AP66" s="35" t="n"/>
      <c r="AQ66" s="35" t="n">
        <v>1</v>
      </c>
      <c r="AR66" s="469" t="inlineStr">
        <is>
          <t>All Store</t>
        </is>
      </c>
      <c r="AS66" s="436" t="n">
        <v>1</v>
      </c>
      <c r="AT66" s="624" t="inlineStr">
        <is>
          <t>ราคา RM LB Cost สูงกว่าใบขอรหัส</t>
        </is>
      </c>
      <c r="AU66" s="436" t="n">
        <v>39.05</v>
      </c>
      <c r="AV66" s="436" t="n">
        <v>37.15</v>
      </c>
      <c r="AW66" s="470" t="n"/>
      <c r="AX66" s="885" t="n"/>
      <c r="AY66" s="886" t="n"/>
      <c r="AZ66" s="622" t="n">
        <v>36.62</v>
      </c>
      <c r="BA66" s="470" t="n"/>
      <c r="BB66" s="470" t="n"/>
      <c r="BC66" s="887" t="n"/>
      <c r="BD66" s="470" t="n"/>
      <c r="BE66" s="470" t="n"/>
      <c r="BF66" s="470" t="n"/>
      <c r="BG66" s="469" t="n"/>
      <c r="BH66" s="469" t="n"/>
      <c r="BI66" s="470">
        <f>AVERAGE(AW66:BH66)</f>
        <v/>
      </c>
      <c r="BJ66" s="470">
        <f>BI66-AU66</f>
        <v/>
      </c>
      <c r="BK66" s="413" t="n"/>
      <c r="BL66" s="410" t="n"/>
      <c r="BM66" s="521" t="inlineStr">
        <is>
          <t>ไม่ระบุ nutrition บน aw</t>
        </is>
      </c>
      <c r="BN66" s="488" t="n"/>
      <c r="BO66" s="385" t="n"/>
      <c r="BP66" s="385" t="n"/>
      <c r="BQ66" s="385" t="n"/>
      <c r="BR66" s="385" t="n"/>
      <c r="BS66" s="385" t="n"/>
      <c r="BT66" s="441" t="n">
        <v>0</v>
      </c>
      <c r="BU66" s="441" t="n">
        <v>0</v>
      </c>
      <c r="BV66" s="441" t="n">
        <v>0</v>
      </c>
      <c r="BW66" s="441" t="n">
        <v>8669782</v>
      </c>
      <c r="BX66" s="441" t="n"/>
      <c r="BY66" s="441" t="n"/>
      <c r="BZ66" s="441" t="n"/>
      <c r="CA66" s="441" t="n"/>
      <c r="CB66" s="441" t="n"/>
      <c r="CC66" s="441" t="n"/>
      <c r="CD66" s="441" t="n"/>
      <c r="CE66" s="441" t="n"/>
      <c r="CF66" s="880">
        <f>SUM(BT66:CE66)</f>
        <v/>
      </c>
    </row>
    <row r="67" ht="42" customFormat="1" customHeight="1" s="324">
      <c r="A67" s="464" t="n">
        <v>64</v>
      </c>
      <c r="B67" s="559" t="inlineStr">
        <is>
          <t>ข้าวและกับข้าว</t>
        </is>
      </c>
      <c r="C67" s="464" t="inlineStr">
        <is>
          <t>PMA20</t>
        </is>
      </c>
      <c r="D67" s="652" t="inlineStr">
        <is>
          <t>Q2</t>
        </is>
      </c>
      <c r="E67" s="464" t="inlineStr">
        <is>
          <t>Apr</t>
        </is>
      </c>
      <c r="F67" s="464" t="n">
        <v>90139690</v>
      </c>
      <c r="G67" s="611" t="inlineStr">
        <is>
          <t>ข้าวกะเพราหมู 215 กรัม IMP2026</t>
        </is>
      </c>
      <c r="H67" s="584" t="n">
        <v>5</v>
      </c>
      <c r="I67" s="560" t="inlineStr">
        <is>
          <t>CHB</t>
        </is>
      </c>
      <c r="J67" s="580" t="n">
        <v>0</v>
      </c>
      <c r="K67" s="465" t="n"/>
      <c r="L67" s="588" t="n">
        <v>100</v>
      </c>
      <c r="M67" s="589" t="n">
        <v>0</v>
      </c>
      <c r="N67" s="589" t="n">
        <v>1</v>
      </c>
      <c r="O67" s="589" t="n">
        <v>1</v>
      </c>
      <c r="P67" s="589" t="n"/>
      <c r="Q67" s="589" t="n"/>
      <c r="R67" s="589" t="n"/>
      <c r="S67" s="466" t="n"/>
      <c r="T67" s="525" t="n"/>
      <c r="U67" s="466" t="n">
        <v>1</v>
      </c>
      <c r="V67" s="466" t="n"/>
      <c r="W67" s="466" t="n"/>
      <c r="X67" s="466" t="n"/>
      <c r="Y67" s="466" t="n"/>
      <c r="Z67" s="532" t="n"/>
      <c r="AA67" s="394" t="n"/>
      <c r="AB67" s="394" t="n"/>
      <c r="AC67" s="510" t="n"/>
      <c r="AD67" s="467" t="n"/>
      <c r="AE67" s="510" t="n"/>
      <c r="AF67" s="467" t="n"/>
      <c r="AG67" s="467">
        <f>Table13[[#This Row],[วัน Pre-test 
run]]-Table13[[#This Row],[วันที่การตลาด
อนุมัติใบขอรหัส]]</f>
        <v/>
      </c>
      <c r="AH67" s="467" t="n"/>
      <c r="AI67" s="467">
        <f>Table13[[#This Row],[Lead 
time (วัน)]]-Table13[[#This Row],[จำนวนวัน
ที่รอ artwork (วัน)]]</f>
        <v/>
      </c>
      <c r="AJ67" s="468" t="n">
        <v>46014</v>
      </c>
      <c r="AK67" s="468" t="n">
        <v>46118</v>
      </c>
      <c r="AL67" s="435">
        <f>Table13[[#This Row],[Launch 
Date.]]-Table13[[#This Row],[วันที่การตลาดอนุมัติ
ใบขอรหัส.]]</f>
        <v/>
      </c>
      <c r="AM67" s="509" t="n">
        <v>46067</v>
      </c>
      <c r="AN67" s="435">
        <f>Table13[[#This Row],[Launch 
Date.]]-Table13[[#This Row],[วันที่ใบขอรหัสจบ(ภายใน)]]</f>
        <v/>
      </c>
      <c r="AO67" s="35" t="n"/>
      <c r="AP67" s="35" t="n">
        <v>1</v>
      </c>
      <c r="AQ67" s="35" t="n">
        <v>1</v>
      </c>
      <c r="AR67" s="469" t="inlineStr">
        <is>
          <t>All Store</t>
        </is>
      </c>
      <c r="AS67" s="436" t="n">
        <v>0</v>
      </c>
      <c r="AT67" s="436" t="n"/>
      <c r="AU67" s="436" t="n">
        <v>35.22</v>
      </c>
      <c r="AV67" s="436" t="n">
        <v>31</v>
      </c>
      <c r="AW67" s="470" t="n"/>
      <c r="AX67" s="885" t="n"/>
      <c r="AY67" s="886" t="n"/>
      <c r="AZ67" s="470" t="n">
        <v>42.1</v>
      </c>
      <c r="BA67" s="470" t="n"/>
      <c r="BB67" s="470" t="n"/>
      <c r="BC67" s="887" t="n"/>
      <c r="BD67" s="470" t="n"/>
      <c r="BE67" s="470" t="n"/>
      <c r="BF67" s="470" t="n"/>
      <c r="BG67" s="469" t="n"/>
      <c r="BH67" s="469" t="n"/>
      <c r="BI67" s="470">
        <f>AVERAGE(AW67:BH67)</f>
        <v/>
      </c>
      <c r="BJ67" s="470">
        <f>BI67-AU67</f>
        <v/>
      </c>
      <c r="BK67" s="413" t="n"/>
      <c r="BL67" s="410" t="n"/>
      <c r="BM67" s="474" t="n">
        <v>500</v>
      </c>
      <c r="BN67" s="488" t="n">
        <v>1</v>
      </c>
      <c r="BO67" s="385" t="n"/>
      <c r="BP67" s="385" t="n"/>
      <c r="BQ67" s="385" t="n"/>
      <c r="BR67" s="385" t="n"/>
      <c r="BS67" s="385" t="n"/>
      <c r="BT67" s="441" t="n">
        <v>0</v>
      </c>
      <c r="BU67" s="441" t="n">
        <v>0</v>
      </c>
      <c r="BV67" s="441" t="n">
        <v>0</v>
      </c>
      <c r="BW67" s="441" t="n">
        <v>18582372</v>
      </c>
      <c r="BX67" s="441" t="n"/>
      <c r="BY67" s="441" t="n"/>
      <c r="BZ67" s="441" t="n"/>
      <c r="CA67" s="441" t="n"/>
      <c r="CB67" s="441" t="n"/>
      <c r="CC67" s="441" t="n"/>
      <c r="CD67" s="441" t="n"/>
      <c r="CE67" s="441" t="n"/>
      <c r="CF67" s="880">
        <f>SUM(BT67:CE67)</f>
        <v/>
      </c>
    </row>
    <row r="68" ht="42" customFormat="1" customHeight="1" s="324">
      <c r="A68" s="464" t="n">
        <v>65</v>
      </c>
      <c r="B68" s="559" t="inlineStr">
        <is>
          <t>ข้าวเหนียว สเต็ก</t>
        </is>
      </c>
      <c r="C68" s="464" t="inlineStr">
        <is>
          <t>PMA08</t>
        </is>
      </c>
      <c r="D68" s="652" t="inlineStr">
        <is>
          <t>Q2</t>
        </is>
      </c>
      <c r="E68" s="464" t="inlineStr">
        <is>
          <t>Apr</t>
        </is>
      </c>
      <c r="F68" s="464" t="inlineStr">
        <is>
          <t>90113364</t>
        </is>
      </c>
      <c r="G68" s="611" t="inlineStr">
        <is>
          <t>BGข้าวเหนียวแหนมหมูทอด138g7-11</t>
        </is>
      </c>
      <c r="H68" s="584" t="n">
        <v>2</v>
      </c>
      <c r="I68" s="560" t="inlineStr">
        <is>
          <t>LPN</t>
        </is>
      </c>
      <c r="J68" s="580" t="n">
        <v>0</v>
      </c>
      <c r="K68" s="465" t="n"/>
      <c r="L68" s="588" t="n">
        <v>100</v>
      </c>
      <c r="M68" s="589" t="n">
        <v>0</v>
      </c>
      <c r="N68" s="589" t="n">
        <v>1</v>
      </c>
      <c r="O68" s="587" t="n">
        <v>1</v>
      </c>
      <c r="P68" s="587" t="n">
        <v>0</v>
      </c>
      <c r="Q68" s="587" t="n">
        <v>0</v>
      </c>
      <c r="R68" s="589" t="n"/>
      <c r="S68" s="466" t="n"/>
      <c r="T68" s="525" t="n"/>
      <c r="U68" s="587" t="n">
        <v>1</v>
      </c>
      <c r="V68" s="587" t="n">
        <v>0</v>
      </c>
      <c r="W68" s="587" t="n">
        <v>0</v>
      </c>
      <c r="X68" s="466" t="n"/>
      <c r="Y68" s="466" t="n"/>
      <c r="Z68" s="532" t="n"/>
      <c r="AA68" s="394" t="n"/>
      <c r="AB68" s="394" t="n"/>
      <c r="AC68" s="510" t="n"/>
      <c r="AD68" s="467" t="n"/>
      <c r="AE68" s="510" t="n"/>
      <c r="AF68" s="467" t="n"/>
      <c r="AG68" s="467">
        <f>Table13[[#This Row],[วัน Pre-test 
run]]-Table13[[#This Row],[วันที่การตลาด
อนุมัติใบขอรหัส]]</f>
        <v/>
      </c>
      <c r="AH68" s="467" t="n"/>
      <c r="AI68" s="467">
        <f>Table13[[#This Row],[Lead 
time (วัน)]]-Table13[[#This Row],[จำนวนวัน
ที่รอ artwork (วัน)]]</f>
        <v/>
      </c>
      <c r="AJ68" s="468" t="n">
        <v>46095</v>
      </c>
      <c r="AK68" s="468" t="n">
        <v>46118</v>
      </c>
      <c r="AL68" s="435">
        <f>Table13[[#This Row],[Launch 
Date.]]-Table13[[#This Row],[วันที่การตลาดอนุมัติ
ใบขอรหัส.]]</f>
        <v/>
      </c>
      <c r="AM68" s="509" t="n">
        <v>46097</v>
      </c>
      <c r="AN68" s="435">
        <f>Table13[[#This Row],[Launch 
Date.]]-Table13[[#This Row],[วันที่ใบขอรหัสจบ(ภายใน)]]</f>
        <v/>
      </c>
      <c r="AO68" s="35" t="n">
        <v>1</v>
      </c>
      <c r="AP68" s="35" t="n"/>
      <c r="AQ68" s="35" t="n">
        <v>1</v>
      </c>
      <c r="AR68" s="469" t="inlineStr">
        <is>
          <t>All Store</t>
        </is>
      </c>
      <c r="AS68" s="436" t="n">
        <v>0</v>
      </c>
      <c r="AT68" s="436" t="n"/>
      <c r="AU68" s="436" t="n">
        <v>47.45</v>
      </c>
      <c r="AV68" s="436" t="n">
        <v>33.42</v>
      </c>
      <c r="AW68" s="470" t="n"/>
      <c r="AX68" s="885" t="n"/>
      <c r="AY68" s="886" t="n"/>
      <c r="AZ68" s="470" t="n">
        <v>39.77</v>
      </c>
      <c r="BA68" s="470" t="n"/>
      <c r="BB68" s="470" t="n"/>
      <c r="BC68" s="887" t="n"/>
      <c r="BD68" s="470" t="n"/>
      <c r="BE68" s="470" t="n"/>
      <c r="BF68" s="470" t="n"/>
      <c r="BG68" s="469" t="n"/>
      <c r="BH68" s="469" t="n"/>
      <c r="BI68" s="470">
        <f>AVERAGE(AW68:BH68)</f>
        <v/>
      </c>
      <c r="BJ68" s="470">
        <f>BI68-AU68</f>
        <v/>
      </c>
      <c r="BK68" s="413" t="n"/>
      <c r="BL68" s="410" t="n"/>
      <c r="BM68" s="474" t="n">
        <v>520</v>
      </c>
      <c r="BN68" s="488" t="n">
        <v>1</v>
      </c>
      <c r="BO68" s="385" t="n"/>
      <c r="BP68" s="385" t="n"/>
      <c r="BQ68" s="385" t="n"/>
      <c r="BR68" s="385" t="n"/>
      <c r="BS68" s="385" t="n"/>
      <c r="BT68" s="441" t="n">
        <v>0</v>
      </c>
      <c r="BU68" s="441" t="n">
        <v>0</v>
      </c>
      <c r="BV68" s="441" t="n">
        <v>0</v>
      </c>
      <c r="BW68" s="441" t="n">
        <v>3584141</v>
      </c>
      <c r="BX68" s="441" t="n"/>
      <c r="BY68" s="441" t="n"/>
      <c r="BZ68" s="441" t="n"/>
      <c r="CA68" s="441" t="n"/>
      <c r="CB68" s="441" t="n"/>
      <c r="CC68" s="441" t="n"/>
      <c r="CD68" s="441" t="n"/>
      <c r="CE68" s="441" t="n"/>
      <c r="CF68" s="880">
        <f>SUM(BT68:CE68)</f>
        <v/>
      </c>
    </row>
    <row r="69" ht="42" customFormat="1" customHeight="1" s="324">
      <c r="A69" s="464" t="n">
        <v>66</v>
      </c>
      <c r="B69" s="559" t="inlineStr">
        <is>
          <t>เบอร์เกอร์ รองท้อง</t>
        </is>
      </c>
      <c r="C69" s="464" t="inlineStr">
        <is>
          <t>PMA08</t>
        </is>
      </c>
      <c r="D69" s="652" t="inlineStr">
        <is>
          <t>Q2</t>
        </is>
      </c>
      <c r="E69" s="464" t="inlineStr">
        <is>
          <t>Apr</t>
        </is>
      </c>
      <c r="F69" s="464" t="inlineStr">
        <is>
          <t>90113365</t>
        </is>
      </c>
      <c r="G69" s="611" t="inlineStr">
        <is>
          <t>BGหมูทอดทงคัตสึและชีสEZYGO121g,7-11</t>
        </is>
      </c>
      <c r="H69" s="584" t="n">
        <v>3</v>
      </c>
      <c r="I69" s="560" t="n">
        <v>1</v>
      </c>
      <c r="J69" s="580" t="n">
        <v>0</v>
      </c>
      <c r="K69" s="465" t="n"/>
      <c r="L69" s="589" t="n">
        <v>90.5</v>
      </c>
      <c r="M69" s="589" t="n">
        <v>0.1</v>
      </c>
      <c r="N69" s="589" t="n">
        <v>1</v>
      </c>
      <c r="O69" s="587" t="n">
        <v>1</v>
      </c>
      <c r="P69" s="587" t="n">
        <v>0</v>
      </c>
      <c r="Q69" s="587" t="n">
        <v>0</v>
      </c>
      <c r="R69" s="589" t="n"/>
      <c r="S69" s="466" t="n"/>
      <c r="T69" s="525" t="n"/>
      <c r="U69" s="587" t="n">
        <v>1</v>
      </c>
      <c r="V69" s="587" t="n">
        <v>0</v>
      </c>
      <c r="W69" s="587" t="n">
        <v>0</v>
      </c>
      <c r="X69" s="466" t="n"/>
      <c r="Y69" s="466" t="n"/>
      <c r="Z69" s="532" t="n"/>
      <c r="AA69" s="394" t="n"/>
      <c r="AB69" s="394" t="n"/>
      <c r="AC69" s="510" t="n"/>
      <c r="AD69" s="467" t="n"/>
      <c r="AE69" s="510" t="n"/>
      <c r="AF69" s="467" t="n"/>
      <c r="AG69" s="467">
        <f>Table13[[#This Row],[วัน Pre-test 
run]]-Table13[[#This Row],[วันที่การตลาด
อนุมัติใบขอรหัส]]</f>
        <v/>
      </c>
      <c r="AH69" s="467" t="n"/>
      <c r="AI69" s="467">
        <f>Table13[[#This Row],[Lead 
time (วัน)]]-Table13[[#This Row],[จำนวนวัน
ที่รอ artwork (วัน)]]</f>
        <v/>
      </c>
      <c r="AJ69" s="468" t="n">
        <v>46090</v>
      </c>
      <c r="AK69" s="468" t="n">
        <v>46132</v>
      </c>
      <c r="AL69" s="435">
        <f>Table13[[#This Row],[Launch 
Date.]]-Table13[[#This Row],[วันที่การตลาดอนุมัติ
ใบขอรหัส.]]</f>
        <v/>
      </c>
      <c r="AM69" s="509" t="n">
        <v>46099</v>
      </c>
      <c r="AN69" s="435">
        <f>Table13[[#This Row],[Launch 
Date.]]-Table13[[#This Row],[วันที่ใบขอรหัสจบ(ภายใน)]]</f>
        <v/>
      </c>
      <c r="AO69" s="35" t="n">
        <v>1</v>
      </c>
      <c r="AP69" s="35" t="n"/>
      <c r="AQ69" s="35" t="n">
        <v>1</v>
      </c>
      <c r="AR69" s="469" t="inlineStr">
        <is>
          <t>All Store</t>
        </is>
      </c>
      <c r="AS69" s="436" t="n">
        <v>0</v>
      </c>
      <c r="AT69" s="436" t="n"/>
      <c r="AU69" s="436" t="n">
        <v>33.98</v>
      </c>
      <c r="AV69" s="436" t="n">
        <v>24.49</v>
      </c>
      <c r="AW69" s="470" t="n"/>
      <c r="AX69" s="885" t="n"/>
      <c r="AY69" s="886" t="n"/>
      <c r="AZ69" s="470" t="n">
        <v>32.41</v>
      </c>
      <c r="BA69" s="470" t="n"/>
      <c r="BB69" s="470" t="n"/>
      <c r="BC69" s="887" t="n"/>
      <c r="BD69" s="470" t="n"/>
      <c r="BE69" s="470" t="n"/>
      <c r="BF69" s="470" t="n"/>
      <c r="BG69" s="469" t="n"/>
      <c r="BH69" s="469" t="n"/>
      <c r="BI69" s="470">
        <f>AVERAGE(AW69:BH69)</f>
        <v/>
      </c>
      <c r="BJ69" s="470">
        <f>BI69-AU69</f>
        <v/>
      </c>
      <c r="BK69" s="413" t="n"/>
      <c r="BL69" s="410" t="n"/>
      <c r="BM69" s="474" t="n">
        <v>870</v>
      </c>
      <c r="BN69" s="488" t="n">
        <v>1</v>
      </c>
      <c r="BO69" s="385" t="n"/>
      <c r="BP69" s="385" t="n"/>
      <c r="BQ69" s="385" t="n"/>
      <c r="BR69" s="385" t="n"/>
      <c r="BS69" s="385" t="n"/>
      <c r="BT69" s="441" t="n">
        <v>0</v>
      </c>
      <c r="BU69" s="441" t="n">
        <v>0</v>
      </c>
      <c r="BV69" s="441" t="n">
        <v>0</v>
      </c>
      <c r="BW69" s="441" t="n">
        <v>2837105</v>
      </c>
      <c r="BX69" s="441" t="n"/>
      <c r="BY69" s="441" t="n"/>
      <c r="BZ69" s="441" t="n"/>
      <c r="CA69" s="441" t="n"/>
      <c r="CB69" s="441" t="n"/>
      <c r="CC69" s="441" t="n"/>
      <c r="CD69" s="441" t="n"/>
      <c r="CE69" s="441" t="n"/>
      <c r="CF69" s="880">
        <f>SUM(BT69:CE69)</f>
        <v/>
      </c>
    </row>
    <row r="70" ht="42" customFormat="1" customHeight="1" s="324">
      <c r="A70" s="464" t="n">
        <v>67</v>
      </c>
      <c r="B70" s="559" t="inlineStr">
        <is>
          <t>เบอร์เกอร์ รองท้อง</t>
        </is>
      </c>
      <c r="C70" s="464" t="inlineStr">
        <is>
          <t>PMA02</t>
        </is>
      </c>
      <c r="D70" s="652" t="inlineStr">
        <is>
          <t>Q2</t>
        </is>
      </c>
      <c r="E70" s="464" t="inlineStr">
        <is>
          <t>Apr</t>
        </is>
      </c>
      <c r="F70" s="464" t="inlineStr">
        <is>
          <t>90138915</t>
        </is>
      </c>
      <c r="G70" s="611" t="inlineStr">
        <is>
          <t>ไก่ย่างสูตรเผ็ดเดลิกาเซียเชสเตอร์90g7-11</t>
        </is>
      </c>
      <c r="H70" s="584" t="n">
        <v>1</v>
      </c>
      <c r="I70" s="560" t="n">
        <v>1</v>
      </c>
      <c r="J70" s="580" t="n">
        <v>0</v>
      </c>
      <c r="K70" s="465" t="n"/>
      <c r="L70" s="588" t="n">
        <v>90</v>
      </c>
      <c r="M70" s="589" t="n">
        <v>0.23</v>
      </c>
      <c r="N70" s="589" t="n">
        <v>1</v>
      </c>
      <c r="O70" s="587" t="n">
        <v>0</v>
      </c>
      <c r="P70" s="587" t="n">
        <v>0</v>
      </c>
      <c r="Q70" s="587" t="n">
        <v>1</v>
      </c>
      <c r="R70" s="589" t="inlineStr">
        <is>
          <t>สินค้าไม่ผ่าน</t>
        </is>
      </c>
      <c r="S70" s="466" t="n"/>
      <c r="T70" s="394" t="inlineStr">
        <is>
          <t>รสชาติ</t>
        </is>
      </c>
      <c r="U70" s="587" t="n">
        <v>1</v>
      </c>
      <c r="V70" s="587" t="n">
        <v>0</v>
      </c>
      <c r="W70" s="587" t="n">
        <v>0</v>
      </c>
      <c r="X70" s="466" t="n"/>
      <c r="Y70" s="466" t="n"/>
      <c r="Z70" s="532" t="n"/>
      <c r="AA70" s="394" t="n"/>
      <c r="AB70" s="394" t="n"/>
      <c r="AC70" s="510" t="n"/>
      <c r="AD70" s="467" t="n"/>
      <c r="AE70" s="510" t="n"/>
      <c r="AF70" s="467" t="n"/>
      <c r="AG70" s="467">
        <f>Table13[[#This Row],[วัน Pre-test 
run]]-Table13[[#This Row],[วันที่การตลาด
อนุมัติใบขอรหัส]]</f>
        <v/>
      </c>
      <c r="AH70" s="467" t="n"/>
      <c r="AI70" s="467">
        <f>Table13[[#This Row],[Lead 
time (วัน)]]-Table13[[#This Row],[จำนวนวัน
ที่รอ artwork (วัน)]]</f>
        <v/>
      </c>
      <c r="AJ70" s="468" t="n">
        <v>46094</v>
      </c>
      <c r="AK70" s="468" t="n">
        <v>46139</v>
      </c>
      <c r="AL70" s="435">
        <f>Table13[[#This Row],[Launch 
Date.]]-Table13[[#This Row],[วันที่การตลาดอนุมัติ
ใบขอรหัส.]]</f>
        <v/>
      </c>
      <c r="AM70" s="509" t="n">
        <v>46100</v>
      </c>
      <c r="AN70" s="435">
        <f>Table13[[#This Row],[Launch 
Date.]]-Table13[[#This Row],[วันที่ใบขอรหัสจบ(ภายใน)]]</f>
        <v/>
      </c>
      <c r="AO70" s="35" t="n">
        <v>1</v>
      </c>
      <c r="AP70" s="35" t="n"/>
      <c r="AQ70" s="35" t="n">
        <v>1</v>
      </c>
      <c r="AR70" s="469" t="inlineStr">
        <is>
          <t>All Store</t>
        </is>
      </c>
      <c r="AS70" s="436" t="n">
        <v>0</v>
      </c>
      <c r="AT70" s="436" t="n"/>
      <c r="AU70" s="436" t="n">
        <v>17.15</v>
      </c>
      <c r="AV70" s="436" t="n"/>
      <c r="AW70" s="470" t="n"/>
      <c r="AX70" s="885" t="n"/>
      <c r="AY70" s="886" t="n"/>
      <c r="AZ70" s="470" t="n">
        <v>24.35</v>
      </c>
      <c r="BA70" s="470" t="n"/>
      <c r="BB70" s="470" t="n"/>
      <c r="BC70" s="887" t="n"/>
      <c r="BD70" s="470" t="n"/>
      <c r="BE70" s="470" t="n"/>
      <c r="BF70" s="470" t="n"/>
      <c r="BG70" s="469" t="n"/>
      <c r="BH70" s="469" t="n"/>
      <c r="BI70" s="470">
        <f>AVERAGE(AW70:BH70)</f>
        <v/>
      </c>
      <c r="BJ70" s="470">
        <f>BI70-AU70</f>
        <v/>
      </c>
      <c r="BK70" s="413" t="n"/>
      <c r="BL70" s="410" t="n"/>
      <c r="BM70" s="521" t="inlineStr">
        <is>
          <t>ไม่ระบุ nutrition บน aw</t>
        </is>
      </c>
      <c r="BN70" s="488" t="n"/>
      <c r="BO70" s="385" t="n"/>
      <c r="BP70" s="385" t="n"/>
      <c r="BQ70" s="385" t="n"/>
      <c r="BR70" s="385" t="n"/>
      <c r="BS70" s="385" t="n"/>
      <c r="BT70" s="441" t="n">
        <v>0</v>
      </c>
      <c r="BU70" s="441" t="n">
        <v>0</v>
      </c>
      <c r="BV70" s="441" t="n">
        <v>0</v>
      </c>
      <c r="BW70" s="441" t="n">
        <v>1856108</v>
      </c>
      <c r="BX70" s="441" t="n"/>
      <c r="BY70" s="441" t="n"/>
      <c r="BZ70" s="441" t="n"/>
      <c r="CA70" s="441" t="n"/>
      <c r="CB70" s="441" t="n"/>
      <c r="CC70" s="441" t="n"/>
      <c r="CD70" s="441" t="n"/>
      <c r="CE70" s="441" t="n"/>
      <c r="CF70" s="880">
        <f>SUM(BT70:CE70)</f>
        <v/>
      </c>
    </row>
    <row r="71" ht="42" customFormat="1" customHeight="1" s="324">
      <c r="A71" s="464" t="n">
        <v>68</v>
      </c>
      <c r="B71" s="559" t="inlineStr">
        <is>
          <t>เบอร์เกอร์ รองท้อง</t>
        </is>
      </c>
      <c r="C71" s="464" t="inlineStr">
        <is>
          <t>PMA08</t>
        </is>
      </c>
      <c r="D71" s="652" t="inlineStr">
        <is>
          <t>Q2</t>
        </is>
      </c>
      <c r="E71" s="464" t="inlineStr">
        <is>
          <t>Apr</t>
        </is>
      </c>
      <c r="F71" s="464" t="inlineStr">
        <is>
          <t>90113355</t>
        </is>
      </c>
      <c r="G71" s="611" t="inlineStr">
        <is>
          <t>ดับเบิ้ลชีสเบอร์เกอร์หมูEZYGO131g,IMP26</t>
        </is>
      </c>
      <c r="H71" s="584" t="n">
        <v>1</v>
      </c>
      <c r="I71" s="560" t="inlineStr">
        <is>
          <t>2,1</t>
        </is>
      </c>
      <c r="J71" s="580" t="n">
        <v>0</v>
      </c>
      <c r="K71" s="465" t="n"/>
      <c r="L71" s="589" t="n">
        <v>100</v>
      </c>
      <c r="M71" s="589" t="n">
        <v>0</v>
      </c>
      <c r="N71" s="589" t="n">
        <v>1</v>
      </c>
      <c r="O71" s="587" t="n">
        <v>1</v>
      </c>
      <c r="P71" s="587" t="n">
        <v>0</v>
      </c>
      <c r="Q71" s="587" t="n">
        <v>0</v>
      </c>
      <c r="R71" s="589" t="n"/>
      <c r="S71" s="466" t="n"/>
      <c r="T71" s="525" t="n"/>
      <c r="U71" s="587" t="n">
        <v>1</v>
      </c>
      <c r="V71" s="587" t="n">
        <v>0</v>
      </c>
      <c r="W71" s="587" t="n">
        <v>0</v>
      </c>
      <c r="X71" s="466" t="n"/>
      <c r="Y71" s="466" t="n"/>
      <c r="Z71" s="532" t="n"/>
      <c r="AA71" s="394" t="n"/>
      <c r="AB71" s="394" t="n"/>
      <c r="AC71" s="510" t="n"/>
      <c r="AD71" s="467" t="n"/>
      <c r="AE71" s="510" t="n"/>
      <c r="AF71" s="467" t="n"/>
      <c r="AG71" s="467">
        <f>Table13[[#This Row],[วัน Pre-test 
run]]-Table13[[#This Row],[วันที่การตลาด
อนุมัติใบขอรหัส]]</f>
        <v/>
      </c>
      <c r="AH71" s="467" t="n"/>
      <c r="AI71" s="467">
        <f>Table13[[#This Row],[Lead 
time (วัน)]]-Table13[[#This Row],[จำนวนวัน
ที่รอ artwork (วัน)]]</f>
        <v/>
      </c>
      <c r="AJ71" s="468" t="n">
        <v>46011</v>
      </c>
      <c r="AK71" s="468" t="n">
        <v>46061</v>
      </c>
      <c r="AL71" s="435">
        <f>Table13[[#This Row],[Launch 
Date.]]-Table13[[#This Row],[วันที่การตลาดอนุมัติ
ใบขอรหัส.]]</f>
        <v/>
      </c>
      <c r="AM71" s="509" t="n">
        <v>46028</v>
      </c>
      <c r="AN71" s="435">
        <f>Table13[[#This Row],[Launch 
Date.]]-Table13[[#This Row],[วันที่ใบขอรหัสจบ(ภายใน)]]</f>
        <v/>
      </c>
      <c r="AO71" s="35" t="n"/>
      <c r="AP71" s="35" t="n">
        <v>1</v>
      </c>
      <c r="AQ71" s="35" t="n">
        <v>1</v>
      </c>
      <c r="AR71" s="469" t="inlineStr">
        <is>
          <t>All Store</t>
        </is>
      </c>
      <c r="AS71" s="665" t="n">
        <v>0</v>
      </c>
      <c r="AT71" s="665" t="n"/>
      <c r="AU71" s="436" t="n">
        <v>15.93</v>
      </c>
      <c r="AV71" s="436" t="n"/>
      <c r="AW71" s="470" t="n"/>
      <c r="AX71" s="885" t="n"/>
      <c r="AY71" s="886" t="n"/>
      <c r="AZ71" s="470" t="n">
        <v>24.88</v>
      </c>
      <c r="BA71" s="470" t="n"/>
      <c r="BB71" s="470" t="n"/>
      <c r="BC71" s="887" t="n"/>
      <c r="BD71" s="470" t="n"/>
      <c r="BE71" s="470" t="n"/>
      <c r="BF71" s="470" t="n"/>
      <c r="BG71" s="469" t="n"/>
      <c r="BH71" s="469" t="n"/>
      <c r="BI71" s="470">
        <f>AVERAGE(AW71:BH71)</f>
        <v/>
      </c>
      <c r="BJ71" s="470">
        <f>BI71-AU71</f>
        <v/>
      </c>
      <c r="BK71" s="413" t="n"/>
      <c r="BL71" s="410" t="n"/>
      <c r="BM71" s="474" t="n">
        <v>930</v>
      </c>
      <c r="BN71" s="488" t="n">
        <v>1</v>
      </c>
      <c r="BO71" s="385" t="n"/>
      <c r="BP71" s="385" t="n"/>
      <c r="BQ71" s="385" t="n"/>
      <c r="BR71" s="385" t="n"/>
      <c r="BS71" s="385" t="n"/>
      <c r="BT71" s="441" t="n">
        <v>0</v>
      </c>
      <c r="BU71" s="441" t="n">
        <v>0</v>
      </c>
      <c r="BV71" s="441" t="n">
        <v>0</v>
      </c>
      <c r="BW71" s="441" t="n">
        <v>7399346</v>
      </c>
      <c r="BX71" s="441" t="n"/>
      <c r="BY71" s="441" t="n"/>
      <c r="BZ71" s="441" t="n"/>
      <c r="CA71" s="441" t="n"/>
      <c r="CB71" s="441" t="n"/>
      <c r="CC71" s="441" t="n"/>
      <c r="CD71" s="441" t="n"/>
      <c r="CE71" s="441" t="n"/>
      <c r="CF71" s="880">
        <f>SUM(BT71:CE71)</f>
        <v/>
      </c>
    </row>
    <row r="72" ht="42" customFormat="1" customHeight="1" s="324">
      <c r="A72" s="464" t="n">
        <v>69</v>
      </c>
      <c r="B72" s="559" t="inlineStr">
        <is>
          <t>ข้าวเหนียว สเต็ก</t>
        </is>
      </c>
      <c r="C72" s="464" t="inlineStr">
        <is>
          <t>PMA08</t>
        </is>
      </c>
      <c r="D72" s="652" t="inlineStr">
        <is>
          <t>Q2</t>
        </is>
      </c>
      <c r="E72" s="464" t="inlineStr">
        <is>
          <t>Apr</t>
        </is>
      </c>
      <c r="F72" s="464" t="inlineStr">
        <is>
          <t>90113367</t>
        </is>
      </c>
      <c r="G72" s="611" t="inlineStr">
        <is>
          <t>BGข้าวเหนียวจัมโบ้หมูปิ้ง180gIMP26,7-11</t>
        </is>
      </c>
      <c r="H72" s="584" t="n">
        <v>1</v>
      </c>
      <c r="I72" s="560" t="inlineStr">
        <is>
          <t>2,4</t>
        </is>
      </c>
      <c r="J72" s="580" t="n">
        <v>0</v>
      </c>
      <c r="K72" s="465" t="n"/>
      <c r="L72" s="588" t="n">
        <v>100</v>
      </c>
      <c r="M72" s="589" t="n">
        <v>0</v>
      </c>
      <c r="N72" s="589" t="n">
        <v>1</v>
      </c>
      <c r="O72" s="587" t="n">
        <v>1</v>
      </c>
      <c r="P72" s="587" t="n">
        <v>0</v>
      </c>
      <c r="Q72" s="587" t="n">
        <v>0</v>
      </c>
      <c r="R72" s="589" t="n"/>
      <c r="S72" s="466" t="n"/>
      <c r="T72" s="525" t="n"/>
      <c r="U72" s="587" t="n">
        <v>1</v>
      </c>
      <c r="V72" s="587" t="n">
        <v>0</v>
      </c>
      <c r="W72" s="587" t="n">
        <v>0</v>
      </c>
      <c r="X72" s="466" t="n"/>
      <c r="Y72" s="466" t="n"/>
      <c r="Z72" s="532" t="n"/>
      <c r="AA72" s="394" t="n"/>
      <c r="AB72" s="394" t="n"/>
      <c r="AC72" s="510" t="n"/>
      <c r="AD72" s="467" t="n"/>
      <c r="AE72" s="510" t="n"/>
      <c r="AF72" s="467" t="n"/>
      <c r="AG72" s="467">
        <f>Table13[[#This Row],[วัน Pre-test 
run]]-Table13[[#This Row],[วันที่การตลาด
อนุมัติใบขอรหัส]]</f>
        <v/>
      </c>
      <c r="AH72" s="467" t="n"/>
      <c r="AI72" s="467">
        <f>Table13[[#This Row],[Lead 
time (วัน)]]-Table13[[#This Row],[จำนวนวัน
ที่รอ artwork (วัน)]]</f>
        <v/>
      </c>
      <c r="AJ72" s="468" t="n">
        <v>46079</v>
      </c>
      <c r="AK72" s="468" t="n">
        <v>46114</v>
      </c>
      <c r="AL72" s="435">
        <f>Table13[[#This Row],[Launch 
Date.]]-Table13[[#This Row],[วันที่การตลาดอนุมัติ
ใบขอรหัส.]]</f>
        <v/>
      </c>
      <c r="AM72" s="509" t="n">
        <v>46087</v>
      </c>
      <c r="AN72" s="435">
        <f>Table13[[#This Row],[Launch 
Date.]]-Table13[[#This Row],[วันที่ใบขอรหัสจบ(ภายใน)]]</f>
        <v/>
      </c>
      <c r="AO72" s="35" t="n"/>
      <c r="AP72" s="35" t="n">
        <v>1</v>
      </c>
      <c r="AQ72" s="35" t="n">
        <v>1</v>
      </c>
      <c r="AR72" s="469" t="inlineStr">
        <is>
          <t>All Store</t>
        </is>
      </c>
      <c r="AS72" s="436" t="n">
        <v>0</v>
      </c>
      <c r="AT72" s="436" t="n"/>
      <c r="AU72" s="436" t="n">
        <v>39.06</v>
      </c>
      <c r="AV72" s="436" t="n">
        <v>30.17</v>
      </c>
      <c r="AW72" s="470" t="n"/>
      <c r="AX72" s="885" t="n"/>
      <c r="AY72" s="886" t="n"/>
      <c r="AZ72" s="470" t="n">
        <v>35.27</v>
      </c>
      <c r="BA72" s="470" t="n"/>
      <c r="BB72" s="470" t="n"/>
      <c r="BC72" s="887" t="n"/>
      <c r="BD72" s="470" t="n"/>
      <c r="BE72" s="470" t="n"/>
      <c r="BF72" s="470" t="n"/>
      <c r="BG72" s="469" t="n"/>
      <c r="BH72" s="469" t="n"/>
      <c r="BI72" s="470">
        <f>AVERAGE(AW72:BH72)</f>
        <v/>
      </c>
      <c r="BJ72" s="470">
        <f>BI72-AU72</f>
        <v/>
      </c>
      <c r="BK72" s="413" t="n"/>
      <c r="BL72" s="410" t="n"/>
      <c r="BM72" s="474" t="n">
        <v>750</v>
      </c>
      <c r="BN72" s="488" t="n">
        <v>1</v>
      </c>
      <c r="BO72" s="385" t="n"/>
      <c r="BP72" s="385" t="n"/>
      <c r="BQ72" s="385" t="n"/>
      <c r="BR72" s="385" t="n"/>
      <c r="BS72" s="385" t="n"/>
      <c r="BT72" s="441" t="n">
        <v>0</v>
      </c>
      <c r="BU72" s="441" t="n">
        <v>0</v>
      </c>
      <c r="BV72" s="441" t="n">
        <v>1496738</v>
      </c>
      <c r="BW72" s="441" t="n">
        <v>6958411</v>
      </c>
      <c r="BX72" s="441" t="n"/>
      <c r="BY72" s="441" t="n"/>
      <c r="BZ72" s="441" t="n"/>
      <c r="CA72" s="441" t="n"/>
      <c r="CB72" s="441" t="n"/>
      <c r="CC72" s="441" t="n"/>
      <c r="CD72" s="441" t="n"/>
      <c r="CE72" s="441" t="n"/>
      <c r="CF72" s="880">
        <f>SUM(BT72:CE72)</f>
        <v/>
      </c>
    </row>
    <row r="73" ht="42" customFormat="1" customHeight="1" s="324">
      <c r="A73" s="464" t="n">
        <v>70</v>
      </c>
      <c r="B73" s="559" t="inlineStr">
        <is>
          <t>ติ่มซำ รองท้อง (ทอด)</t>
        </is>
      </c>
      <c r="C73" s="464" t="inlineStr">
        <is>
          <t>Export</t>
        </is>
      </c>
      <c r="D73" s="652" t="inlineStr">
        <is>
          <t>Q2</t>
        </is>
      </c>
      <c r="E73" s="464" t="inlineStr">
        <is>
          <t>Apr</t>
        </is>
      </c>
      <c r="F73" s="464" t="inlineStr">
        <is>
          <t xml:space="preserve">90147032	</t>
        </is>
      </c>
      <c r="G73" s="611" t="inlineStr">
        <is>
          <t>Frozen Fully Fried Veggie Wonton 15g</t>
        </is>
      </c>
      <c r="H73" s="584" t="n">
        <v>0</v>
      </c>
      <c r="I73" s="560" t="n">
        <v>1</v>
      </c>
      <c r="J73" s="580" t="n">
        <v>0</v>
      </c>
      <c r="K73" s="465" t="n"/>
      <c r="L73" s="588" t="n">
        <v>100</v>
      </c>
      <c r="M73" s="589" t="n"/>
      <c r="N73" s="589" t="n">
        <v>1</v>
      </c>
      <c r="O73" s="589" t="n">
        <v>1</v>
      </c>
      <c r="P73" s="589" t="n">
        <v>0</v>
      </c>
      <c r="Q73" s="589" t="n">
        <v>0</v>
      </c>
      <c r="R73" s="589" t="n"/>
      <c r="S73" s="466" t="n"/>
      <c r="T73" s="525" t="n"/>
      <c r="U73" s="466" t="n">
        <v>1</v>
      </c>
      <c r="V73" s="466" t="n"/>
      <c r="W73" s="466" t="n"/>
      <c r="X73" s="466" t="n"/>
      <c r="Y73" s="466" t="n"/>
      <c r="Z73" s="532" t="n"/>
      <c r="AA73" s="394" t="n"/>
      <c r="AB73" s="394" t="n"/>
      <c r="AC73" s="510" t="n">
        <v>46113</v>
      </c>
      <c r="AD73" s="510" t="n">
        <v>46052</v>
      </c>
      <c r="AE73" s="510" t="n">
        <v>46066</v>
      </c>
      <c r="AF73" s="510" t="n">
        <v>46104</v>
      </c>
      <c r="AG73" s="467">
        <f>Table13[[#This Row],[วัน Pre-test 
run]]-Table13[[#This Row],[วันที่การตลาด
อนุมัติใบขอรหัส]]</f>
        <v/>
      </c>
      <c r="AH73" s="467" t="n"/>
      <c r="AI73" s="467">
        <f>Table13[[#This Row],[Lead 
time (วัน)]]-Table13[[#This Row],[จำนวนวัน
ที่รอ artwork (วัน)]]</f>
        <v/>
      </c>
      <c r="AJ73" s="468" t="n"/>
      <c r="AK73" s="468" t="n"/>
      <c r="AL73" s="435">
        <f>Table13[[#This Row],[Launch 
Date.]]-Table13[[#This Row],[วันที่การตลาดอนุมัติ
ใบขอรหัส.]]</f>
        <v/>
      </c>
      <c r="AM73" s="509" t="n"/>
      <c r="AN73" s="435">
        <f>Table13[[#This Row],[Launch 
Date.]]-Table13[[#This Row],[วันที่ใบขอรหัสจบ(ภายใน)]]</f>
        <v/>
      </c>
      <c r="AO73" s="35" t="n">
        <v>1</v>
      </c>
      <c r="AP73" s="35" t="n"/>
      <c r="AQ73" s="35" t="n">
        <v>1</v>
      </c>
      <c r="AR73" s="519" t="inlineStr">
        <is>
          <t>ต่างประเทศ</t>
        </is>
      </c>
      <c r="AS73" s="666" t="n">
        <v>1</v>
      </c>
      <c r="AT73" s="667" t="inlineStr">
        <is>
          <t>ราคา RM PKG LB Cost สูงกว่าใบขอรหัส</t>
        </is>
      </c>
      <c r="AU73" s="632" t="n">
        <v>37.5</v>
      </c>
      <c r="AV73" s="632" t="n">
        <v>34.93</v>
      </c>
      <c r="AW73" s="470" t="n"/>
      <c r="AX73" s="885" t="n"/>
      <c r="AY73" s="886" t="n"/>
      <c r="AZ73" s="622" t="n">
        <v>3.8</v>
      </c>
      <c r="BA73" s="470" t="n"/>
      <c r="BB73" s="470" t="n"/>
      <c r="BC73" s="887" t="n"/>
      <c r="BD73" s="470" t="n"/>
      <c r="BE73" s="470" t="n"/>
      <c r="BF73" s="470" t="n"/>
      <c r="BG73" s="469" t="n"/>
      <c r="BH73" s="469" t="n"/>
      <c r="BI73" s="470">
        <f>AVERAGE(AW73:BH73)</f>
        <v/>
      </c>
      <c r="BJ73" s="470">
        <f>BI73-AU73</f>
        <v/>
      </c>
      <c r="BK73" s="413" t="n"/>
      <c r="BL73" s="410" t="n"/>
      <c r="BM73" s="521" t="inlineStr">
        <is>
          <t>ไม่ระบุ nutrition บน aw</t>
        </is>
      </c>
      <c r="BN73" s="488" t="n"/>
      <c r="BO73" s="385" t="n"/>
      <c r="BP73" s="385" t="n"/>
      <c r="BQ73" s="385" t="n"/>
      <c r="BR73" s="385" t="n"/>
      <c r="BS73" s="385" t="n"/>
      <c r="BT73" s="441" t="n">
        <v>0</v>
      </c>
      <c r="BU73" s="441" t="n">
        <v>0</v>
      </c>
      <c r="BV73" s="441" t="n">
        <v>0</v>
      </c>
      <c r="BW73" s="441" t="n">
        <v>502347</v>
      </c>
      <c r="BX73" s="441" t="n"/>
      <c r="BY73" s="441" t="n"/>
      <c r="BZ73" s="441" t="n"/>
      <c r="CA73" s="441" t="n"/>
      <c r="CB73" s="441" t="n"/>
      <c r="CC73" s="441" t="n"/>
      <c r="CD73" s="441" t="n"/>
      <c r="CE73" s="441" t="n"/>
      <c r="CF73" s="880">
        <f>SUM(BT73:CE73)</f>
        <v/>
      </c>
    </row>
    <row r="74" ht="42" customFormat="1" customHeight="1" s="324">
      <c r="A74" s="464" t="n">
        <v>71</v>
      </c>
      <c r="B74" s="559" t="inlineStr">
        <is>
          <t>ติ่มซำ รองท้อง (ทอด)</t>
        </is>
      </c>
      <c r="C74" s="464" t="inlineStr">
        <is>
          <t>Export</t>
        </is>
      </c>
      <c r="D74" s="652" t="inlineStr">
        <is>
          <t>Q2</t>
        </is>
      </c>
      <c r="E74" s="464" t="inlineStr">
        <is>
          <t>Apr</t>
        </is>
      </c>
      <c r="F74" s="464" t="inlineStr">
        <is>
          <t xml:space="preserve">90147032	</t>
        </is>
      </c>
      <c r="G74" s="611" t="inlineStr">
        <is>
          <t>Sweet &amp; Sour Sauce 20 g</t>
        </is>
      </c>
      <c r="H74" s="584" t="n">
        <v>0</v>
      </c>
      <c r="I74" s="560" t="n">
        <v>1</v>
      </c>
      <c r="J74" s="580" t="n">
        <v>0</v>
      </c>
      <c r="K74" s="465" t="n"/>
      <c r="L74" s="588" t="n">
        <v>100</v>
      </c>
      <c r="M74" s="589" t="n">
        <v>0</v>
      </c>
      <c r="N74" s="589" t="n">
        <v>1</v>
      </c>
      <c r="O74" s="589" t="n">
        <v>1</v>
      </c>
      <c r="P74" s="589" t="n">
        <v>0</v>
      </c>
      <c r="Q74" s="589" t="n">
        <v>0</v>
      </c>
      <c r="R74" s="589" t="n"/>
      <c r="S74" s="466" t="n"/>
      <c r="T74" s="525" t="n"/>
      <c r="U74" s="466" t="n">
        <v>1</v>
      </c>
      <c r="V74" s="466" t="n"/>
      <c r="W74" s="466" t="n"/>
      <c r="X74" s="466" t="n"/>
      <c r="Y74" s="466" t="n"/>
      <c r="Z74" s="532" t="n"/>
      <c r="AA74" s="394" t="n"/>
      <c r="AB74" s="394" t="n"/>
      <c r="AC74" s="510" t="n">
        <v>46113</v>
      </c>
      <c r="AD74" s="510" t="n">
        <v>46052</v>
      </c>
      <c r="AE74" s="510" t="n">
        <v>46066</v>
      </c>
      <c r="AF74" s="510" t="n">
        <v>46097</v>
      </c>
      <c r="AG74" s="467">
        <f>Table13[[#This Row],[วัน Pre-test 
run]]-Table13[[#This Row],[วันที่การตลาด
อนุมัติใบขอรหัส]]</f>
        <v/>
      </c>
      <c r="AH74" s="467" t="n"/>
      <c r="AI74" s="467">
        <f>Table13[[#This Row],[Lead 
time (วัน)]]-Table13[[#This Row],[จำนวนวัน
ที่รอ artwork (วัน)]]</f>
        <v/>
      </c>
      <c r="AJ74" s="468" t="n"/>
      <c r="AK74" s="468" t="n"/>
      <c r="AL74" s="435">
        <f>Table13[[#This Row],[Launch 
Date.]]-Table13[[#This Row],[วันที่การตลาดอนุมัติ
ใบขอรหัส.]]</f>
        <v/>
      </c>
      <c r="AM74" s="509" t="n"/>
      <c r="AN74" s="435">
        <f>Table13[[#This Row],[Launch 
Date.]]-Table13[[#This Row],[วันที่ใบขอรหัสจบ(ภายใน)]]</f>
        <v/>
      </c>
      <c r="AO74" s="35" t="n">
        <v>1</v>
      </c>
      <c r="AP74" s="35" t="n"/>
      <c r="AQ74" s="35" t="n">
        <v>1</v>
      </c>
      <c r="AR74" s="469" t="inlineStr">
        <is>
          <t>ต่างประเทศ</t>
        </is>
      </c>
      <c r="AS74" s="668" t="n">
        <v>1</v>
      </c>
      <c r="AT74" s="667" t="inlineStr">
        <is>
          <t>ราคา RM PKG LB Cost สูงกว่าใบขอรหัส</t>
        </is>
      </c>
      <c r="AU74" s="436" t="n">
        <v>37.5</v>
      </c>
      <c r="AV74" s="436" t="n">
        <v>34.93</v>
      </c>
      <c r="AW74" s="470" t="n"/>
      <c r="AX74" s="885" t="n"/>
      <c r="AY74" s="886" t="n"/>
      <c r="AZ74" s="622" t="n">
        <v>3.8</v>
      </c>
      <c r="BA74" s="470" t="n"/>
      <c r="BB74" s="470" t="n"/>
      <c r="BC74" s="887" t="n"/>
      <c r="BD74" s="470" t="n"/>
      <c r="BE74" s="470" t="n"/>
      <c r="BF74" s="470" t="n"/>
      <c r="BG74" s="469" t="n"/>
      <c r="BH74" s="469" t="n"/>
      <c r="BI74" s="470">
        <f>AVERAGE(AW74:BH74)</f>
        <v/>
      </c>
      <c r="BJ74" s="470">
        <f>BI74-AU74</f>
        <v/>
      </c>
      <c r="BK74" s="413" t="n"/>
      <c r="BL74" s="410" t="n"/>
      <c r="BM74" s="521" t="inlineStr">
        <is>
          <t>ไม่ระบุ nutrition บน aw</t>
        </is>
      </c>
      <c r="BN74" s="488" t="n"/>
      <c r="BO74" s="385" t="n"/>
      <c r="BP74" s="385" t="n"/>
      <c r="BQ74" s="385" t="n"/>
      <c r="BR74" s="385" t="n"/>
      <c r="BS74" s="385" t="n"/>
      <c r="BT74" s="441" t="n">
        <v>0</v>
      </c>
      <c r="BU74" s="441" t="n">
        <v>0</v>
      </c>
      <c r="BV74" s="441" t="n">
        <v>0</v>
      </c>
      <c r="BW74" s="441" t="n">
        <v>0</v>
      </c>
      <c r="BX74" s="441" t="n"/>
      <c r="BY74" s="441" t="n"/>
      <c r="BZ74" s="441" t="n"/>
      <c r="CA74" s="441" t="n"/>
      <c r="CB74" s="441" t="n"/>
      <c r="CC74" s="441" t="n"/>
      <c r="CD74" s="441" t="n"/>
      <c r="CE74" s="441" t="n"/>
      <c r="CF74" s="880">
        <f>SUM(BT74:CE74)</f>
        <v/>
      </c>
    </row>
    <row r="75" ht="53.25" customFormat="1" customHeight="1" s="324">
      <c r="A75" s="464" t="n">
        <v>72</v>
      </c>
      <c r="B75" s="559" t="inlineStr">
        <is>
          <t>เส้น (ข้าวไทย)</t>
        </is>
      </c>
      <c r="C75" s="464" t="inlineStr">
        <is>
          <t>PMA20</t>
        </is>
      </c>
      <c r="D75" s="652" t="inlineStr">
        <is>
          <t>Q2</t>
        </is>
      </c>
      <c r="E75" s="464" t="inlineStr">
        <is>
          <t>Apr</t>
        </is>
      </c>
      <c r="F75" s="464" t="n">
        <v>90139686</v>
      </c>
      <c r="G75" s="611" t="inlineStr">
        <is>
          <t>ผัดหมี่โคราช 200 กรัม</t>
        </is>
      </c>
      <c r="H75" s="584" t="n">
        <v>8</v>
      </c>
      <c r="I75" s="560" t="inlineStr">
        <is>
          <t>CHB</t>
        </is>
      </c>
      <c r="J75" s="580" t="n">
        <v>1</v>
      </c>
      <c r="K75" s="465" t="inlineStr">
        <is>
          <t>ถาดละลาย เพิ่มความหนาถาด</t>
        </is>
      </c>
      <c r="L75" s="588" t="n">
        <v>100</v>
      </c>
      <c r="M75" s="589" t="n">
        <v>0</v>
      </c>
      <c r="N75" s="589" t="n">
        <v>1</v>
      </c>
      <c r="O75" s="589" t="n"/>
      <c r="P75" s="589" t="n"/>
      <c r="Q75" s="589" t="n"/>
      <c r="R75" s="589" t="n"/>
      <c r="S75" s="466" t="n"/>
      <c r="T75" s="525" t="n"/>
      <c r="U75" s="466" t="n"/>
      <c r="V75" s="466" t="n"/>
      <c r="W75" s="466" t="n"/>
      <c r="X75" s="466" t="n"/>
      <c r="Y75" s="466" t="n"/>
      <c r="Z75" s="532" t="n"/>
      <c r="AA75" s="394" t="n"/>
      <c r="AB75" s="394" t="n"/>
      <c r="AC75" s="510" t="n"/>
      <c r="AD75" s="467" t="n"/>
      <c r="AE75" s="510" t="n"/>
      <c r="AF75" s="467" t="n"/>
      <c r="AG75" s="467">
        <f>Table13[[#This Row],[วัน Pre-test 
run]]-Table13[[#This Row],[วันที่การตลาด
อนุมัติใบขอรหัส]]</f>
        <v/>
      </c>
      <c r="AH75" s="467" t="n"/>
      <c r="AI75" s="467">
        <f>Table13[[#This Row],[Lead 
time (วัน)]]-Table13[[#This Row],[จำนวนวัน
ที่รอ artwork (วัน)]]</f>
        <v/>
      </c>
      <c r="AJ75" s="468" t="n">
        <v>46078</v>
      </c>
      <c r="AK75" s="468" t="n">
        <v>46135</v>
      </c>
      <c r="AL75" s="435">
        <f>Table13[[#This Row],[Launch 
Date.]]-Table13[[#This Row],[วันที่การตลาดอนุมัติ
ใบขอรหัส.]]</f>
        <v/>
      </c>
      <c r="AM75" s="468" t="n">
        <v>46085</v>
      </c>
      <c r="AN75" s="435">
        <f>Table13[[#This Row],[Launch 
Date.]]-Table13[[#This Row],[วันที่ใบขอรหัสจบ(ภายใน)]]</f>
        <v/>
      </c>
      <c r="AO75" s="35" t="n">
        <v>1</v>
      </c>
      <c r="AP75" s="35" t="n"/>
      <c r="AQ75" s="35" t="n">
        <v>1</v>
      </c>
      <c r="AR75" s="469" t="inlineStr">
        <is>
          <t>All Store</t>
        </is>
      </c>
      <c r="AS75" s="436" t="n">
        <v>1</v>
      </c>
      <c r="AT75" s="436" t="n"/>
      <c r="AU75" s="436" t="n">
        <v>31.42</v>
      </c>
      <c r="AV75" s="436" t="n">
        <v>31.42</v>
      </c>
      <c r="AW75" s="470" t="n"/>
      <c r="AX75" s="885" t="n"/>
      <c r="AY75" s="886" t="n"/>
      <c r="AZ75" s="622" t="n">
        <v>22.34</v>
      </c>
      <c r="BA75" s="470" t="n"/>
      <c r="BB75" s="470" t="n"/>
      <c r="BC75" s="887" t="n"/>
      <c r="BD75" s="470" t="n"/>
      <c r="BE75" s="470" t="n"/>
      <c r="BF75" s="470" t="n"/>
      <c r="BG75" s="469" t="n"/>
      <c r="BH75" s="469" t="n"/>
      <c r="BI75" s="470">
        <f>AVERAGE(AW75:BH75)</f>
        <v/>
      </c>
      <c r="BJ75" s="470">
        <f>BI75-AU75</f>
        <v/>
      </c>
      <c r="BK75" s="413" t="n"/>
      <c r="BL75" s="410" t="n"/>
      <c r="BM75" s="474" t="n">
        <v>1320</v>
      </c>
      <c r="BN75" s="488" t="n"/>
      <c r="BO75" s="385" t="n"/>
      <c r="BP75" s="385" t="n"/>
      <c r="BQ75" s="385" t="n"/>
      <c r="BR75" s="385" t="n"/>
      <c r="BS75" s="385" t="n"/>
      <c r="BT75" s="441" t="n">
        <v>0</v>
      </c>
      <c r="BU75" s="441" t="n">
        <v>0</v>
      </c>
      <c r="BV75" s="441" t="n">
        <v>0</v>
      </c>
      <c r="BW75" s="441" t="n">
        <v>3755920</v>
      </c>
      <c r="BX75" s="441" t="n"/>
      <c r="BY75" s="441" t="n"/>
      <c r="BZ75" s="441" t="n"/>
      <c r="CA75" s="441" t="n"/>
      <c r="CB75" s="441" t="n"/>
      <c r="CC75" s="441" t="n"/>
      <c r="CD75" s="441" t="n"/>
      <c r="CE75" s="441" t="n"/>
      <c r="CF75" s="880">
        <f>SUM(BT75:CE75)</f>
        <v/>
      </c>
    </row>
    <row r="76" ht="42" customFormat="1" customHeight="1" s="324">
      <c r="A76" s="464" t="n">
        <v>73</v>
      </c>
      <c r="B76" s="559" t="inlineStr">
        <is>
          <t>เส้น (ข้าวไทย)</t>
        </is>
      </c>
      <c r="C76" s="464" t="inlineStr">
        <is>
          <t>PMA19</t>
        </is>
      </c>
      <c r="D76" s="652" t="inlineStr">
        <is>
          <t>Q2</t>
        </is>
      </c>
      <c r="E76" s="464" t="inlineStr">
        <is>
          <t>Apr</t>
        </is>
      </c>
      <c r="F76" s="464" t="n">
        <v>90138913</v>
      </c>
      <c r="G76" s="611" t="inlineStr">
        <is>
          <t>เส้นใหญ่ราดหน้าหมูนุ่ม 395 กรัม</t>
        </is>
      </c>
      <c r="H76" s="584" t="n">
        <v>8</v>
      </c>
      <c r="I76" s="560" t="n">
        <v>4</v>
      </c>
      <c r="J76" s="580" t="n">
        <v>1</v>
      </c>
      <c r="K76" s="465" t="inlineStr">
        <is>
          <t>FF ไม่ผ่าน</t>
        </is>
      </c>
      <c r="L76" s="588" t="n">
        <v>100</v>
      </c>
      <c r="M76" s="588" t="n">
        <v>0</v>
      </c>
      <c r="N76" s="588" t="n">
        <v>1</v>
      </c>
      <c r="O76" s="588" t="n"/>
      <c r="P76" s="588" t="n"/>
      <c r="Q76" s="588" t="n"/>
      <c r="R76" s="588" t="n"/>
      <c r="S76" s="465" t="n"/>
      <c r="T76" s="642" t="n"/>
      <c r="U76" s="465" t="n"/>
      <c r="V76" s="465" t="n"/>
      <c r="W76" s="465" t="n"/>
      <c r="X76" s="465" t="n"/>
      <c r="Y76" s="465" t="n"/>
      <c r="Z76" s="643" t="n"/>
      <c r="AA76" s="394" t="n"/>
      <c r="AB76" s="394" t="n"/>
      <c r="AC76" s="510" t="n"/>
      <c r="AD76" s="467" t="n"/>
      <c r="AE76" s="510" t="n"/>
      <c r="AF76" s="467" t="n"/>
      <c r="AG76" s="467">
        <f>Table13[[#This Row],[วัน Pre-test 
run]]-Table13[[#This Row],[วันที่การตลาด
อนุมัติใบขอรหัส]]</f>
        <v/>
      </c>
      <c r="AH76" s="467" t="n"/>
      <c r="AI76" s="467">
        <f>Table13[[#This Row],[Lead 
time (วัน)]]-Table13[[#This Row],[จำนวนวัน
ที่รอ artwork (วัน)]]</f>
        <v/>
      </c>
      <c r="AJ76" s="468" t="n">
        <v>46072</v>
      </c>
      <c r="AK76" s="468" t="n">
        <v>46142</v>
      </c>
      <c r="AL76" s="435">
        <f>Table13[[#This Row],[Launch 
Date.]]-Table13[[#This Row],[วันที่การตลาดอนุมัติ
ใบขอรหัส.]]</f>
        <v/>
      </c>
      <c r="AM76" s="468" t="n">
        <v>46087</v>
      </c>
      <c r="AN76" s="435">
        <f>Table13[[#This Row],[Launch 
Date.]]-Table13[[#This Row],[วันที่ใบขอรหัสจบ(ภายใน)]]</f>
        <v/>
      </c>
      <c r="AO76" s="35" t="n"/>
      <c r="AP76" s="35" t="n">
        <v>1</v>
      </c>
      <c r="AQ76" s="35" t="n">
        <v>1</v>
      </c>
      <c r="AR76" s="469" t="inlineStr">
        <is>
          <t>All Store</t>
        </is>
      </c>
      <c r="AS76" s="436" t="n">
        <v>0</v>
      </c>
      <c r="AT76" s="436" t="n"/>
      <c r="AU76" s="436" t="n">
        <v>31.66</v>
      </c>
      <c r="AV76" s="436" t="n">
        <v>23.48</v>
      </c>
      <c r="AW76" s="470" t="n"/>
      <c r="AX76" s="885" t="n"/>
      <c r="AY76" s="886" t="n"/>
      <c r="AZ76" s="470" t="n">
        <v>34.61</v>
      </c>
      <c r="BA76" s="470" t="n"/>
      <c r="BB76" s="470" t="n"/>
      <c r="BC76" s="887" t="n"/>
      <c r="BD76" s="470" t="n"/>
      <c r="BE76" s="470" t="n"/>
      <c r="BF76" s="470" t="n"/>
      <c r="BG76" s="469" t="n"/>
      <c r="BH76" s="469" t="n"/>
      <c r="BI76" s="470">
        <f>AVERAGE(AW76:BH76)</f>
        <v/>
      </c>
      <c r="BJ76" s="470">
        <f>BI76-AU76</f>
        <v/>
      </c>
      <c r="BK76" s="413" t="n"/>
      <c r="BL76" s="410" t="n"/>
      <c r="BM76" s="474" t="n">
        <v>1480</v>
      </c>
      <c r="BN76" s="488" t="n"/>
      <c r="BO76" s="385" t="n"/>
      <c r="BP76" s="385" t="n"/>
      <c r="BQ76" s="385" t="n"/>
      <c r="BR76" s="385" t="n"/>
      <c r="BS76" s="385" t="n"/>
      <c r="BT76" s="441" t="n">
        <v>0</v>
      </c>
      <c r="BU76" s="441" t="n">
        <v>0</v>
      </c>
      <c r="BV76" s="441" t="n">
        <v>0</v>
      </c>
      <c r="BW76" s="441" t="n">
        <v>1013890</v>
      </c>
      <c r="BX76" s="441" t="n"/>
      <c r="BY76" s="441" t="n"/>
      <c r="BZ76" s="441" t="n"/>
      <c r="CA76" s="441" t="n"/>
      <c r="CB76" s="441" t="n"/>
      <c r="CC76" s="441" t="n"/>
      <c r="CD76" s="441" t="n"/>
      <c r="CE76" s="441" t="n"/>
      <c r="CF76" s="880">
        <f>SUM(BT76:CE76)</f>
        <v/>
      </c>
    </row>
    <row r="77" ht="42" customFormat="1" customHeight="1" s="324">
      <c r="A77" s="464" t="n">
        <v>74</v>
      </c>
      <c r="B77" s="559" t="inlineStr">
        <is>
          <t>ติ่มซำ (นึ่ง)</t>
        </is>
      </c>
      <c r="C77" s="464" t="inlineStr">
        <is>
          <t>non-7</t>
        </is>
      </c>
      <c r="D77" s="652" t="inlineStr">
        <is>
          <t>Q2</t>
        </is>
      </c>
      <c r="E77" s="464" t="inlineStr">
        <is>
          <t>Apr</t>
        </is>
      </c>
      <c r="F77" s="464" t="n">
        <v>90108275</v>
      </c>
      <c r="G77" s="611" t="inlineStr">
        <is>
          <t>ซาลาเปาลาวาโอวัลติน เจดดราก้อน444g,Makro</t>
        </is>
      </c>
      <c r="H77" s="584" t="n">
        <v>1</v>
      </c>
      <c r="I77" s="560" t="n">
        <v>2</v>
      </c>
      <c r="J77" s="580" t="n">
        <v>0</v>
      </c>
      <c r="K77" s="465" t="n"/>
      <c r="L77" s="588" t="n">
        <v>100</v>
      </c>
      <c r="M77" s="634" t="n">
        <v>0</v>
      </c>
      <c r="N77" s="634" t="n">
        <v>1</v>
      </c>
      <c r="O77" s="634" t="n">
        <v>1</v>
      </c>
      <c r="P77" s="634" t="n"/>
      <c r="Q77" s="634" t="n"/>
      <c r="R77" s="634" t="n"/>
      <c r="S77" s="633" t="n"/>
      <c r="T77" s="645" t="n"/>
      <c r="U77" s="633" t="n">
        <v>1</v>
      </c>
      <c r="V77" s="633" t="n"/>
      <c r="W77" s="633" t="n"/>
      <c r="X77" s="633" t="n"/>
      <c r="Y77" s="633" t="n"/>
      <c r="Z77" s="646" t="n"/>
      <c r="AA77" s="394" t="n"/>
      <c r="AB77" s="394" t="n"/>
      <c r="AC77" s="510" t="n"/>
      <c r="AD77" s="467" t="n"/>
      <c r="AE77" s="510" t="n"/>
      <c r="AF77" s="467" t="n"/>
      <c r="AG77" s="467">
        <f>Table13[[#This Row],[วัน Pre-test 
run]]-Table13[[#This Row],[วันที่การตลาด
อนุมัติใบขอรหัส]]</f>
        <v/>
      </c>
      <c r="AH77" s="467" t="n"/>
      <c r="AI77" s="467">
        <f>Table13[[#This Row],[Lead 
time (วัน)]]-Table13[[#This Row],[จำนวนวัน
ที่รอ artwork (วัน)]]</f>
        <v/>
      </c>
      <c r="AJ77" s="468" t="n">
        <v>46008</v>
      </c>
      <c r="AK77" s="468" t="n">
        <v>46118</v>
      </c>
      <c r="AL77" s="435" t="n">
        <v>53</v>
      </c>
      <c r="AM77" s="509" t="n">
        <v>46015</v>
      </c>
      <c r="AN77" s="435" t="n">
        <v>46</v>
      </c>
      <c r="AO77" s="35" t="n">
        <v>1</v>
      </c>
      <c r="AP77" s="35" t="n"/>
      <c r="AQ77" s="35" t="n">
        <v>1</v>
      </c>
      <c r="AR77" s="469" t="n"/>
      <c r="AS77" s="436" t="n">
        <v>0</v>
      </c>
      <c r="AT77" s="436" t="n"/>
      <c r="AU77" s="436" t="n">
        <v>50.23</v>
      </c>
      <c r="AV77" s="436" t="n"/>
      <c r="AW77" s="470" t="n"/>
      <c r="AX77" s="885" t="n"/>
      <c r="AY77" s="886" t="n"/>
      <c r="AZ77" s="470" t="n">
        <v>53.63</v>
      </c>
      <c r="BA77" s="470" t="n"/>
      <c r="BB77" s="470" t="n"/>
      <c r="BC77" s="887" t="n"/>
      <c r="BD77" s="470" t="n"/>
      <c r="BE77" s="470" t="n"/>
      <c r="BF77" s="470" t="n"/>
      <c r="BG77" s="469" t="n"/>
      <c r="BH77" s="469" t="n"/>
      <c r="BI77" s="470">
        <f>AVERAGE(AW77:BH77)</f>
        <v/>
      </c>
      <c r="BJ77" s="470">
        <f>BI77-AU77</f>
        <v/>
      </c>
      <c r="BK77" s="413" t="n"/>
      <c r="BL77" s="410" t="n"/>
      <c r="BM77" s="521" t="inlineStr">
        <is>
          <t>ไม่ระบุ nutrition บน aw</t>
        </is>
      </c>
      <c r="BN77" s="488" t="n"/>
      <c r="BO77" s="385" t="n"/>
      <c r="BP77" s="385" t="n"/>
      <c r="BQ77" s="385" t="n"/>
      <c r="BR77" s="385" t="n"/>
      <c r="BS77" s="385" t="n"/>
      <c r="BT77" s="441" t="n">
        <v>0</v>
      </c>
      <c r="BU77" s="441" t="n">
        <v>0</v>
      </c>
      <c r="BV77" s="441" t="n">
        <v>0</v>
      </c>
      <c r="BW77" s="441" t="n">
        <v>480473</v>
      </c>
      <c r="BX77" s="441" t="n"/>
      <c r="BY77" s="441" t="n"/>
      <c r="BZ77" s="441" t="n"/>
      <c r="CA77" s="441" t="n"/>
      <c r="CB77" s="441" t="n"/>
      <c r="CC77" s="441" t="n"/>
      <c r="CD77" s="441" t="n"/>
      <c r="CE77" s="441" t="n"/>
      <c r="CF77" s="880">
        <f>SUM(BT77:CE77)</f>
        <v/>
      </c>
    </row>
    <row r="78" ht="42" customFormat="1" customHeight="1" s="324">
      <c r="A78" s="464" t="n">
        <v>75</v>
      </c>
      <c r="B78" s="559" t="inlineStr">
        <is>
          <t>ติ่มซำ (นึ่ง)</t>
        </is>
      </c>
      <c r="C78" s="464" t="inlineStr">
        <is>
          <t>non-7</t>
        </is>
      </c>
      <c r="D78" s="652" t="inlineStr">
        <is>
          <t>Q2</t>
        </is>
      </c>
      <c r="E78" s="464" t="inlineStr">
        <is>
          <t>Apr</t>
        </is>
      </c>
      <c r="F78" s="570" t="inlineStr">
        <is>
          <t>90103091</t>
        </is>
      </c>
      <c r="G78" s="612" t="inlineStr">
        <is>
          <t>ฮะเก๋ากุ้งชีส(ผสมปลาและหมู)เจด360g,Non-7</t>
        </is>
      </c>
      <c r="H78" s="584" t="n">
        <v>1</v>
      </c>
      <c r="I78" s="560" t="n">
        <v>2</v>
      </c>
      <c r="J78" s="580" t="n">
        <v>0</v>
      </c>
      <c r="K78" s="465" t="n"/>
      <c r="L78" s="589" t="n">
        <v>100</v>
      </c>
      <c r="M78" s="634" t="n">
        <v>0</v>
      </c>
      <c r="N78" s="634" t="n">
        <v>1</v>
      </c>
      <c r="O78" s="634" t="n">
        <v>1</v>
      </c>
      <c r="P78" s="634" t="n"/>
      <c r="Q78" s="634" t="n"/>
      <c r="R78" s="634" t="n"/>
      <c r="S78" s="633" t="n"/>
      <c r="T78" s="645" t="n"/>
      <c r="U78" s="633" t="n">
        <v>1</v>
      </c>
      <c r="V78" s="633" t="n"/>
      <c r="W78" s="633" t="n"/>
      <c r="X78" s="633" t="n"/>
      <c r="Y78" s="633" t="n"/>
      <c r="Z78" s="646" t="n"/>
      <c r="AA78" s="394" t="n"/>
      <c r="AB78" s="394" t="n"/>
      <c r="AC78" s="510" t="n"/>
      <c r="AD78" s="467" t="n"/>
      <c r="AE78" s="510" t="n"/>
      <c r="AF78" s="467" t="n"/>
      <c r="AG78" s="467">
        <f>Table13[[#This Row],[วัน Pre-test 
run]]-Table13[[#This Row],[วันที่การตลาด
อนุมัติใบขอรหัส]]</f>
        <v/>
      </c>
      <c r="AH78" s="467" t="n"/>
      <c r="AI78" s="467">
        <f>Table13[[#This Row],[Lead 
time (วัน)]]-Table13[[#This Row],[จำนวนวัน
ที่รอ artwork (วัน)]]</f>
        <v/>
      </c>
      <c r="AJ78" s="468" t="n">
        <v>46030</v>
      </c>
      <c r="AK78" s="468" t="n">
        <v>46115</v>
      </c>
      <c r="AL78" s="435">
        <f>Table13[[#This Row],[Launch 
Date.]]-Table13[[#This Row],[วันที่การตลาดอนุมัติ
ใบขอรหัส.]]</f>
        <v/>
      </c>
      <c r="AM78" s="509" t="n">
        <v>46048</v>
      </c>
      <c r="AN78" s="435">
        <f>Table13[[#This Row],[Launch 
Date.]]-Table13[[#This Row],[วันที่ใบขอรหัสจบ(ภายใน)]]</f>
        <v/>
      </c>
      <c r="AO78" s="35" t="n">
        <v>1</v>
      </c>
      <c r="AP78" s="35" t="n"/>
      <c r="AQ78" s="35" t="n">
        <v>1</v>
      </c>
      <c r="AR78" s="469" t="inlineStr">
        <is>
          <t>All Store</t>
        </is>
      </c>
      <c r="AS78" s="436" t="n">
        <v>1</v>
      </c>
      <c r="AT78" s="624" t="inlineStr">
        <is>
          <t>ราคาขายต่ำกว่าใบขอรหัส MKT จัดโปรโมชั่นเปิดตัวสินค้า และ ราคา PKG LB สูงกว่าใบขอรหัส</t>
        </is>
      </c>
      <c r="AU78" s="436" t="n">
        <v>38.05</v>
      </c>
      <c r="AV78" s="436" t="n">
        <v>38.05</v>
      </c>
      <c r="AW78" s="470" t="n"/>
      <c r="AX78" s="885" t="n"/>
      <c r="AY78" s="886" t="n"/>
      <c r="AZ78" s="470" t="n">
        <v>34.78</v>
      </c>
      <c r="BA78" s="470" t="n"/>
      <c r="BB78" s="470" t="n"/>
      <c r="BC78" s="887" t="n"/>
      <c r="BD78" s="470" t="n"/>
      <c r="BE78" s="470" t="n"/>
      <c r="BF78" s="470" t="n"/>
      <c r="BG78" s="469" t="n"/>
      <c r="BH78" s="469" t="n"/>
      <c r="BI78" s="470">
        <f>AVERAGE(AW78:BH78)</f>
        <v/>
      </c>
      <c r="BJ78" s="470">
        <f>BI78-AU78</f>
        <v/>
      </c>
      <c r="BK78" s="413" t="n"/>
      <c r="BL78" s="410" t="n"/>
      <c r="BM78" s="521" t="inlineStr">
        <is>
          <t>ไม่ระบุ nutrition บน aw</t>
        </is>
      </c>
      <c r="BN78" s="488" t="n"/>
      <c r="BO78" s="385" t="n"/>
      <c r="BP78" s="385" t="n"/>
      <c r="BQ78" s="385" t="n"/>
      <c r="BR78" s="385" t="n"/>
      <c r="BS78" s="385" t="n"/>
      <c r="BT78" s="441" t="n">
        <v>0</v>
      </c>
      <c r="BU78" s="441" t="n">
        <v>0</v>
      </c>
      <c r="BV78" s="441" t="n">
        <v>0</v>
      </c>
      <c r="BW78" s="441" t="n">
        <v>616593</v>
      </c>
      <c r="BX78" s="441" t="n"/>
      <c r="BY78" s="441" t="n"/>
      <c r="BZ78" s="441" t="n"/>
      <c r="CA78" s="441" t="n"/>
      <c r="CB78" s="441" t="n"/>
      <c r="CC78" s="441" t="n"/>
      <c r="CD78" s="441" t="n"/>
      <c r="CE78" s="441" t="n"/>
      <c r="CF78" s="880">
        <f>SUM(BT78:CE78)</f>
        <v/>
      </c>
    </row>
    <row r="79" ht="42" customFormat="1" customHeight="1" s="324">
      <c r="A79" s="464" t="n">
        <v>76</v>
      </c>
      <c r="B79" s="559" t="inlineStr">
        <is>
          <t>ติ่มซำ (นึ่ง)</t>
        </is>
      </c>
      <c r="C79" s="544" t="inlineStr">
        <is>
          <t>PMA24</t>
        </is>
      </c>
      <c r="D79" s="652" t="inlineStr">
        <is>
          <t>Q2</t>
        </is>
      </c>
      <c r="E79" s="544" t="inlineStr">
        <is>
          <t>Apr</t>
        </is>
      </c>
      <c r="F79" s="644" t="inlineStr">
        <is>
          <t>90108288</t>
        </is>
      </c>
      <c r="G79" s="644" t="inlineStr">
        <is>
          <t>เปาจี่ผักโขมไก่ผสมแฮมและชีสEZYGO110g7-11</t>
        </is>
      </c>
      <c r="H79" s="584" t="n">
        <v>1</v>
      </c>
      <c r="I79" s="560" t="n">
        <v>2</v>
      </c>
      <c r="J79" s="580" t="n">
        <v>0</v>
      </c>
      <c r="K79" s="465" t="n"/>
      <c r="L79" s="588" t="n">
        <v>90.91</v>
      </c>
      <c r="M79" s="634" t="n">
        <v>0.62</v>
      </c>
      <c r="N79" s="634" t="n">
        <v>1</v>
      </c>
      <c r="O79" s="634" t="n"/>
      <c r="P79" s="634" t="n">
        <v>1</v>
      </c>
      <c r="Q79" s="634" t="n"/>
      <c r="R79" s="634" t="n"/>
      <c r="S79" s="633" t="n"/>
      <c r="T79" s="645" t="n"/>
      <c r="U79" s="633" t="n">
        <v>1</v>
      </c>
      <c r="V79" s="633" t="n"/>
      <c r="W79" s="633" t="n"/>
      <c r="X79" s="633" t="n"/>
      <c r="Y79" s="633" t="n"/>
      <c r="Z79" s="646" t="n"/>
      <c r="AA79" s="394" t="n"/>
      <c r="AB79" s="394" t="n"/>
      <c r="AC79" s="510" t="n"/>
      <c r="AD79" s="467" t="n"/>
      <c r="AE79" s="510" t="n"/>
      <c r="AF79" s="467" t="n"/>
      <c r="AG79" s="467">
        <f>Table13[[#This Row],[วัน Pre-test 
run]]-Table13[[#This Row],[วันที่การตลาด
อนุมัติใบขอรหัส]]</f>
        <v/>
      </c>
      <c r="AH79" s="467" t="n"/>
      <c r="AI79" s="467">
        <f>Table13[[#This Row],[Lead 
time (วัน)]]-Table13[[#This Row],[จำนวนวัน
ที่รอ artwork (วัน)]]</f>
        <v/>
      </c>
      <c r="AJ79" s="468" t="n">
        <v>46077</v>
      </c>
      <c r="AK79" s="468" t="n">
        <v>46134</v>
      </c>
      <c r="AL79" s="435">
        <f>Table13[[#This Row],[Launch 
Date.]]-Table13[[#This Row],[วันที่การตลาดอนุมัติ
ใบขอรหัส.]]</f>
        <v/>
      </c>
      <c r="AM79" s="509" t="n">
        <v>46087</v>
      </c>
      <c r="AN79" s="435">
        <f>Table13[[#This Row],[Launch 
Date.]]-Table13[[#This Row],[วันที่ใบขอรหัสจบ(ภายใน)]]</f>
        <v/>
      </c>
      <c r="AO79" s="35" t="n">
        <v>1</v>
      </c>
      <c r="AP79" s="35" t="n"/>
      <c r="AQ79" s="35" t="n">
        <v>1</v>
      </c>
      <c r="AR79" s="469" t="inlineStr">
        <is>
          <t>All Store</t>
        </is>
      </c>
      <c r="AS79" s="436" t="n">
        <v>1</v>
      </c>
      <c r="AT79" s="436" t="n"/>
      <c r="AU79" s="436" t="n">
        <v>41.36</v>
      </c>
      <c r="AV79" s="436" t="n">
        <v>38.88</v>
      </c>
      <c r="AW79" s="470" t="n"/>
      <c r="AX79" s="885" t="n"/>
      <c r="AY79" s="886" t="n"/>
      <c r="AZ79" s="470" t="n">
        <v>37.41</v>
      </c>
      <c r="BA79" s="470" t="n"/>
      <c r="BB79" s="470" t="n"/>
      <c r="BC79" s="887" t="n"/>
      <c r="BD79" s="470" t="n"/>
      <c r="BE79" s="470" t="n"/>
      <c r="BF79" s="470" t="n"/>
      <c r="BG79" s="469" t="n"/>
      <c r="BH79" s="469" t="n"/>
      <c r="BI79" s="470">
        <f>AVERAGE(AW79:BH79)</f>
        <v/>
      </c>
      <c r="BJ79" s="470">
        <f>BI79-AU79</f>
        <v/>
      </c>
      <c r="BK79" s="413" t="n"/>
      <c r="BL79" s="410" t="n"/>
      <c r="BM79" s="521" t="inlineStr">
        <is>
          <t>ไม่ระบุ nutrition บน aw</t>
        </is>
      </c>
      <c r="BN79" s="488" t="n"/>
      <c r="BO79" s="385" t="n"/>
      <c r="BP79" s="385" t="n"/>
      <c r="BQ79" s="385" t="n"/>
      <c r="BR79" s="385" t="n"/>
      <c r="BS79" s="385" t="n"/>
      <c r="BT79" s="441" t="n">
        <v>0</v>
      </c>
      <c r="BU79" s="441" t="n">
        <v>0</v>
      </c>
      <c r="BV79" s="441" t="n">
        <v>0</v>
      </c>
      <c r="BW79" s="441" t="n">
        <v>1273235</v>
      </c>
      <c r="BX79" s="441" t="n"/>
      <c r="BY79" s="441" t="n"/>
      <c r="BZ79" s="441" t="n"/>
      <c r="CA79" s="441" t="n"/>
      <c r="CB79" s="441" t="n"/>
      <c r="CC79" s="441" t="n"/>
      <c r="CD79" s="441" t="n"/>
      <c r="CE79" s="441" t="n"/>
      <c r="CF79" s="880">
        <f>SUM(BT79:CE79)</f>
        <v/>
      </c>
    </row>
    <row r="80" ht="42" customFormat="1" customHeight="1" s="324">
      <c r="A80" s="464" t="n"/>
      <c r="B80" s="559" t="n"/>
      <c r="C80" s="464" t="n"/>
      <c r="D80" s="652" t="n"/>
      <c r="E80" s="464" t="n"/>
      <c r="F80" s="464" t="n"/>
      <c r="G80" s="611" t="n"/>
      <c r="H80" s="584" t="n"/>
      <c r="I80" s="560" t="n"/>
      <c r="J80" s="560" t="n"/>
      <c r="K80" s="465" t="n"/>
      <c r="L80" s="588" t="n"/>
      <c r="M80" s="634" t="n"/>
      <c r="N80" s="634" t="n"/>
      <c r="O80" s="634" t="n"/>
      <c r="P80" s="589" t="n"/>
      <c r="Q80" s="589" t="n"/>
      <c r="R80" s="589" t="n"/>
      <c r="S80" s="466" t="n"/>
      <c r="T80" s="525" t="n"/>
      <c r="U80" s="466" t="n"/>
      <c r="V80" s="466" t="n"/>
      <c r="W80" s="466" t="n"/>
      <c r="X80" s="466" t="n"/>
      <c r="Y80" s="466" t="n"/>
      <c r="Z80" s="532" t="n"/>
      <c r="AA80" s="646" t="n"/>
      <c r="AB80" s="394" t="n"/>
      <c r="AC80" s="510" t="n"/>
      <c r="AD80" s="467" t="n"/>
      <c r="AE80" s="510" t="n"/>
      <c r="AF80" s="467" t="n"/>
      <c r="AG80" s="467">
        <f>Table13[[#This Row],[วัน Pre-test 
run]]-Table13[[#This Row],[วันที่การตลาด
อนุมัติใบขอรหัส]]</f>
        <v/>
      </c>
      <c r="AH80" s="467" t="n"/>
      <c r="AI80" s="467">
        <f>Table13[[#This Row],[Lead 
time (วัน)]]-Table13[[#This Row],[จำนวนวัน
ที่รอ artwork (วัน)]]</f>
        <v/>
      </c>
      <c r="AJ80" s="468" t="n"/>
      <c r="AK80" s="468" t="n"/>
      <c r="AL80" s="435">
        <f>Table13[[#This Row],[Launch 
Date.]]-Table13[[#This Row],[วันที่การตลาดอนุมัติ
ใบขอรหัส.]]</f>
        <v/>
      </c>
      <c r="AM80" s="509" t="n"/>
      <c r="AN80" s="435">
        <f>Table13[[#This Row],[Launch 
Date.]]-Table13[[#This Row],[วันที่ใบขอรหัสจบ(ภายใน)]]</f>
        <v/>
      </c>
      <c r="AO80" s="35" t="n"/>
      <c r="AP80" s="35" t="n"/>
      <c r="AQ80" s="671" t="n"/>
      <c r="AR80" s="469" t="n"/>
      <c r="AS80" s="436" t="n"/>
      <c r="AT80" s="436" t="n"/>
      <c r="AU80" s="436" t="n"/>
      <c r="AV80" s="436" t="n"/>
      <c r="AW80" s="470" t="n"/>
      <c r="AX80" s="885" t="n"/>
      <c r="AY80" s="886" t="n"/>
      <c r="AZ80" s="470" t="n"/>
      <c r="BA80" s="470" t="n"/>
      <c r="BB80" s="470" t="n"/>
      <c r="BC80" s="887" t="n"/>
      <c r="BD80" s="470" t="n"/>
      <c r="BE80" s="470" t="n"/>
      <c r="BF80" s="470" t="n"/>
      <c r="BG80" s="469" t="n"/>
      <c r="BH80" s="469" t="n"/>
      <c r="BI80" s="470">
        <f>AVERAGE(AW80:BH80)</f>
        <v/>
      </c>
      <c r="BJ80" s="470">
        <f>BI80-AU80</f>
        <v/>
      </c>
      <c r="BK80" s="413" t="n"/>
      <c r="BL80" s="410" t="n"/>
      <c r="BM80" s="474" t="n"/>
      <c r="BN80" s="488" t="n"/>
      <c r="BO80" s="385" t="n"/>
      <c r="BP80" s="385" t="n"/>
      <c r="BQ80" s="385" t="n"/>
      <c r="BR80" s="385" t="n"/>
      <c r="BS80" s="385" t="n"/>
      <c r="BT80" s="441" t="n"/>
      <c r="BU80" s="441" t="n"/>
      <c r="BV80" s="441" t="n"/>
      <c r="BW80" s="441" t="n"/>
      <c r="BX80" s="441" t="n"/>
      <c r="BY80" s="441" t="n"/>
      <c r="BZ80" s="441" t="n"/>
      <c r="CA80" s="441" t="n"/>
      <c r="CB80" s="441" t="n"/>
      <c r="CC80" s="441" t="n"/>
      <c r="CD80" s="441" t="n"/>
      <c r="CE80" s="441" t="n"/>
      <c r="CF80" s="880">
        <f>SUM(BT80:CE80)</f>
        <v/>
      </c>
    </row>
    <row r="81" ht="42" customFormat="1" customHeight="1" s="324">
      <c r="A81" s="464" t="n"/>
      <c r="B81" s="559" t="n"/>
      <c r="C81" s="464" t="n"/>
      <c r="D81" s="652" t="n"/>
      <c r="E81" s="464" t="n"/>
      <c r="F81" s="464" t="n"/>
      <c r="G81" s="611" t="n"/>
      <c r="H81" s="584" t="n"/>
      <c r="I81" s="560" t="n"/>
      <c r="J81" s="560" t="n"/>
      <c r="K81" s="465" t="n"/>
      <c r="L81" s="588" t="n"/>
      <c r="M81" s="634" t="n"/>
      <c r="N81" s="634" t="n"/>
      <c r="O81" s="634" t="n"/>
      <c r="P81" s="589" t="n"/>
      <c r="Q81" s="589" t="n"/>
      <c r="R81" s="589" t="n"/>
      <c r="S81" s="466" t="n"/>
      <c r="T81" s="525" t="n"/>
      <c r="U81" s="466" t="n"/>
      <c r="V81" s="466" t="n"/>
      <c r="W81" s="466" t="n"/>
      <c r="X81" s="466" t="n"/>
      <c r="Y81" s="466" t="n"/>
      <c r="Z81" s="532" t="n"/>
      <c r="AA81" s="646" t="n"/>
      <c r="AB81" s="394" t="n"/>
      <c r="AC81" s="510" t="n"/>
      <c r="AD81" s="467" t="n"/>
      <c r="AE81" s="510" t="n"/>
      <c r="AF81" s="467" t="n"/>
      <c r="AG81" s="467">
        <f>Table13[[#This Row],[วัน Pre-test 
run]]-Table13[[#This Row],[วันที่การตลาด
อนุมัติใบขอรหัส]]</f>
        <v/>
      </c>
      <c r="AH81" s="467" t="n"/>
      <c r="AI81" s="467">
        <f>Table13[[#This Row],[Lead 
time (วัน)]]-Table13[[#This Row],[จำนวนวัน
ที่รอ artwork (วัน)]]</f>
        <v/>
      </c>
      <c r="AJ81" s="468" t="n"/>
      <c r="AK81" s="468" t="n"/>
      <c r="AL81" s="435">
        <f>Table13[[#This Row],[Launch 
Date.]]-Table13[[#This Row],[วันที่การตลาดอนุมัติ
ใบขอรหัส.]]</f>
        <v/>
      </c>
      <c r="AM81" s="509" t="n"/>
      <c r="AN81" s="435">
        <f>Table13[[#This Row],[Launch 
Date.]]-Table13[[#This Row],[วันที่ใบขอรหัสจบ(ภายใน)]]</f>
        <v/>
      </c>
      <c r="AO81" s="35" t="n"/>
      <c r="AP81" s="35" t="n"/>
      <c r="AQ81" s="671" t="n"/>
      <c r="AR81" s="469" t="n"/>
      <c r="AS81" s="436" t="n"/>
      <c r="AT81" s="436" t="n"/>
      <c r="AU81" s="436" t="n"/>
      <c r="AV81" s="436" t="n"/>
      <c r="AW81" s="470" t="n"/>
      <c r="AX81" s="885" t="n"/>
      <c r="AY81" s="886" t="n"/>
      <c r="AZ81" s="470" t="n"/>
      <c r="BA81" s="470" t="n"/>
      <c r="BB81" s="470" t="n"/>
      <c r="BC81" s="887" t="n"/>
      <c r="BD81" s="470" t="n"/>
      <c r="BE81" s="470" t="n"/>
      <c r="BF81" s="470" t="n"/>
      <c r="BG81" s="469" t="n"/>
      <c r="BH81" s="469" t="n"/>
      <c r="BI81" s="470">
        <f>AVERAGE(AW81:BH81)</f>
        <v/>
      </c>
      <c r="BJ81" s="470">
        <f>BI81-AU81</f>
        <v/>
      </c>
      <c r="BK81" s="413" t="n"/>
      <c r="BL81" s="410" t="n"/>
      <c r="BM81" s="474" t="n"/>
      <c r="BN81" s="488" t="n"/>
      <c r="BO81" s="385" t="n"/>
      <c r="BP81" s="385" t="n"/>
      <c r="BQ81" s="385" t="n"/>
      <c r="BR81" s="385" t="n"/>
      <c r="BS81" s="385" t="n"/>
      <c r="BT81" s="441" t="n"/>
      <c r="BU81" s="441" t="n"/>
      <c r="BV81" s="441" t="n"/>
      <c r="BW81" s="441" t="n"/>
      <c r="BX81" s="441" t="n"/>
      <c r="BY81" s="441" t="n"/>
      <c r="BZ81" s="441" t="n"/>
      <c r="CA81" s="441" t="n"/>
      <c r="CB81" s="441" t="n"/>
      <c r="CC81" s="441" t="n"/>
      <c r="CD81" s="441" t="n"/>
      <c r="CE81" s="441" t="n"/>
      <c r="CF81" s="880">
        <f>SUM(BT81:CE81)</f>
        <v/>
      </c>
    </row>
    <row r="82">
      <c r="A82" s="2" t="inlineStr">
        <is>
          <t>Total</t>
        </is>
      </c>
      <c r="B82" s="432" t="n"/>
      <c r="C82" s="2" t="n"/>
      <c r="D82" s="2" t="n"/>
      <c r="E82" s="489" t="n"/>
      <c r="F82" s="4" t="n"/>
      <c r="G82" s="619" t="n"/>
      <c r="H82" s="490" t="n"/>
      <c r="I82" s="491" t="n"/>
      <c r="J82" s="2">
        <f>SUBTOTAL(109,Table13[No. of New Product Delay Plan])</f>
        <v/>
      </c>
      <c r="K82" s="2" t="n"/>
      <c r="L82" s="650">
        <f>SUBTOTAL(101,Table13[%αβ])</f>
        <v/>
      </c>
      <c r="M82" s="650">
        <f>SUBTOTAL(101,Table13[%Defect
(Test Run
5 กะ)])</f>
        <v/>
      </c>
      <c r="N82" s="2">
        <f>SUBTOTAL(109,Table13[ภายใน 5 กะ  Defect ได้ตาม STD หรือไม่])</f>
        <v/>
      </c>
      <c r="O82" s="2">
        <f>SUBTOTAL(109,O4:O81)</f>
        <v/>
      </c>
      <c r="P82" s="2">
        <f>SUBTOTAL(109,P4:P81)</f>
        <v/>
      </c>
      <c r="Q82" s="2">
        <f>SUBTOTAL(109,Q4:Q81)</f>
        <v/>
      </c>
      <c r="R82" s="2" t="n"/>
      <c r="S82" s="2" t="n"/>
      <c r="T82" s="2" t="n"/>
      <c r="U82" s="2" t="n"/>
      <c r="V82" s="2" t="n"/>
      <c r="W82" s="2" t="n"/>
      <c r="X82" s="2" t="n"/>
      <c r="Y82" s="2" t="n"/>
      <c r="Z82" s="489" t="n"/>
      <c r="AA82" s="489" t="n"/>
      <c r="AB82" s="489" t="n"/>
      <c r="AC82" s="492" t="n"/>
      <c r="AD82" s="242" t="n"/>
      <c r="AE82" s="242" t="n"/>
      <c r="AF82" s="242" t="n"/>
      <c r="AG82" s="242">
        <f>SUBTOTAL(101,Table13[Lead 
time (วัน)])</f>
        <v/>
      </c>
      <c r="AH82" s="242" t="n"/>
      <c r="AI82" s="497">
        <f>SUBTOTAL(101,Table13[สรุป 
leadtime])</f>
        <v/>
      </c>
      <c r="AJ82" s="322" t="n"/>
      <c r="AK82" s="228" t="n"/>
      <c r="AL82" s="418">
        <f>SUBTOTAL(101,Table13[Lead 
time (วัน). (เก่า)])</f>
        <v/>
      </c>
      <c r="AM82" s="418" t="n"/>
      <c r="AN82" s="418">
        <f>SUBTOTAL(101,Table13[Lead 
time (วัน). (ใหม่)])</f>
        <v/>
      </c>
      <c r="AO82" s="4">
        <f>SUBTOTAL(109,Table13[New])</f>
        <v/>
      </c>
      <c r="AP82" s="4">
        <f>SUBTOTAL(109,Table13[Level
Up])</f>
        <v/>
      </c>
      <c r="AQ82" s="4">
        <f>SUBTOTAL(109,Table13[Total])</f>
        <v/>
      </c>
      <c r="AR82" s="4">
        <f>SUBTOTAL(109,Table13[ลักษณะ
การขาย])</f>
        <v/>
      </c>
      <c r="AS82" s="379">
        <f>SUM(Table13[No. of New Product over Target Cost])</f>
        <v/>
      </c>
      <c r="AT82" s="379" t="n"/>
      <c r="AU82" s="379" t="n"/>
      <c r="AV82" s="379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13">
        <f>SUBTOTAL(109,Table13[Creator])</f>
        <v/>
      </c>
      <c r="BL82" s="410">
        <f>SUBTOTAL(109,Table13[VG for Love])</f>
        <v/>
      </c>
      <c r="BM82" s="493">
        <f>SUBTOTAL(109,Table13[ค่าโซเดียม/serve])</f>
        <v/>
      </c>
      <c r="BN82" s="494">
        <f>SUBTOTAL(109,Table13[ค่าโซเดียมไม่เกิน 1000 mg/serve])</f>
        <v/>
      </c>
      <c r="BO82" s="385">
        <f>SUBTOTAL(109,Table13[ทางเลือกสุขภาพ])</f>
        <v/>
      </c>
      <c r="BP82" s="385">
        <f>SUBTOTAL(109,Table13[อาหารที่มีการ
เพิ่มหรือลด])</f>
        <v/>
      </c>
      <c r="BQ82" s="385">
        <f>SUBTOTAL(109,Table13[อาหารที่มีการ
เพิ่มหรือลด])</f>
        <v/>
      </c>
      <c r="BR82" s="385">
        <f>SUBTOTAL(109,Table13[อาหารทางการแพทย์])</f>
        <v/>
      </c>
      <c r="BS82" s="385">
        <f>SUBTOTAL(109,Table13[ไม่เข้าข่าย 
Health])</f>
        <v/>
      </c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893">
        <f>SUBTOTAL(109,Table13[Grand Total])</f>
        <v/>
      </c>
    </row>
    <row r="83">
      <c r="I83" s="460" t="n"/>
      <c r="AC83" s="546" t="n"/>
      <c r="AD83" s="547" t="n"/>
      <c r="AE83" s="547" t="n"/>
      <c r="AF83" s="547" t="n"/>
      <c r="AG83" s="547" t="n"/>
      <c r="AH83" s="547" t="n"/>
      <c r="AI83" s="548" t="n"/>
      <c r="AJ83" s="549" t="n"/>
      <c r="AK83" s="550" t="n"/>
      <c r="AL83" s="551" t="n"/>
      <c r="AM83" s="551" t="n"/>
      <c r="AN83" s="551" t="n"/>
      <c r="AO83" s="5" t="n"/>
      <c r="AP83" s="5" t="n"/>
      <c r="AQ83" s="5" t="n"/>
      <c r="AR83" s="5" t="n"/>
      <c r="AS83" s="552" t="n"/>
      <c r="AT83" s="552" t="n"/>
      <c r="AU83" s="552" t="n"/>
      <c r="AV83" s="552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53" t="n"/>
      <c r="BL83" s="554" t="n"/>
      <c r="BM83" s="555" t="n"/>
      <c r="BN83" s="556" t="n"/>
      <c r="BO83" s="557" t="n"/>
      <c r="BP83" s="557" t="n"/>
      <c r="BQ83" s="557" t="n"/>
      <c r="BR83" s="557" t="n"/>
      <c r="BS83" s="557" t="n"/>
      <c r="CF83" s="894" t="n"/>
    </row>
    <row r="84">
      <c r="I84" s="460" t="n"/>
    </row>
    <row r="85">
      <c r="I85" s="460" t="n"/>
    </row>
    <row r="86">
      <c r="A86" s="676" t="inlineStr">
        <is>
          <t>สินค้าครัวกลาง (ไม่นับ)
 90153378 ชุดกับข้าวมงคล 5 อย่าง (New)</t>
        </is>
      </c>
      <c r="I86" s="460" t="n"/>
      <c r="AJ86" s="338" t="n"/>
    </row>
    <row r="87">
      <c r="I87" s="460" t="n"/>
    </row>
    <row r="88">
      <c r="I88" s="460" t="n"/>
    </row>
    <row r="89">
      <c r="I89" s="460" t="n"/>
    </row>
    <row r="90">
      <c r="I90" s="460" t="n"/>
    </row>
    <row r="91">
      <c r="I91" s="460" t="n"/>
    </row>
    <row r="92">
      <c r="I92" s="460" t="n"/>
    </row>
    <row r="93">
      <c r="I93" s="460" t="n"/>
    </row>
    <row r="94">
      <c r="I94" s="460" t="n"/>
    </row>
    <row r="95">
      <c r="I95" s="460" t="n"/>
    </row>
    <row r="96">
      <c r="I96" s="460" t="n"/>
    </row>
    <row r="97">
      <c r="I97" s="460" t="n"/>
    </row>
    <row r="98">
      <c r="I98" s="460" t="n"/>
    </row>
    <row r="99">
      <c r="I99" s="460" t="n"/>
    </row>
    <row r="100">
      <c r="I100" s="460" t="n"/>
    </row>
    <row r="101">
      <c r="I101" s="460" t="n"/>
    </row>
    <row r="102">
      <c r="I102" s="460" t="n"/>
    </row>
    <row r="103">
      <c r="I103" s="460" t="n"/>
    </row>
    <row r="104">
      <c r="I104" s="460" t="n"/>
    </row>
    <row r="105">
      <c r="I105" s="460" t="n"/>
    </row>
    <row r="106">
      <c r="I106" s="460" t="n"/>
    </row>
    <row r="107">
      <c r="I107" s="460" t="n"/>
    </row>
    <row r="108">
      <c r="I108" s="460" t="n"/>
    </row>
    <row r="109">
      <c r="I109" s="460" t="n"/>
    </row>
  </sheetData>
  <mergeCells count="5">
    <mergeCell ref="AJ2:AL2"/>
    <mergeCell ref="AM2:AN2"/>
    <mergeCell ref="AJ1:AN1"/>
    <mergeCell ref="A86:G86"/>
    <mergeCell ref="AC1:AI1"/>
  </mergeCells>
  <conditionalFormatting sqref="AX4:BC22">
    <cfRule type="cellIs" priority="56" operator="lessThan" dxfId="193">
      <formula>-0.01</formula>
    </cfRule>
  </conditionalFormatting>
  <conditionalFormatting sqref="BT4:CE16 BT17:BU17 BT18:CE22 BX17:CE17">
    <cfRule type="cellIs" priority="2" operator="greaterThan" dxfId="192">
      <formula>1500000</formula>
    </cfRule>
  </conditionalFormatting>
  <conditionalFormatting sqref="AW4:BI81">
    <cfRule type="cellIs" priority="1" operator="lessThan" dxfId="191">
      <formula>$AU4</formula>
    </cfRule>
  </conditionalFormatting>
  <dataValidations count="2">
    <dataValidation sqref="AB5:AB80 AS4:AT81" showDropDown="0" showInputMessage="1" showErrorMessage="1" allowBlank="1"/>
    <dataValidation sqref="AA3:AB3" showDropDown="0" showInputMessage="1" showErrorMessage="1" allowBlank="1" promptTitle="เข้าซ้ำ"/>
  </dataValidations>
  <pageMargins left="0.7" right="0.7" top="0.75" bottom="0.75" header="0.3" footer="0.3"/>
  <pageSetup orientation="portrait" paperSize="9" scale="33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tabColor theme="4"/>
    <outlinePr summaryBelow="1" summaryRight="1"/>
    <pageSetUpPr/>
  </sheetPr>
  <dimension ref="A1:H18"/>
  <sheetViews>
    <sheetView view="pageBreakPreview" zoomScaleNormal="115" zoomScaleSheetLayoutView="100" workbookViewId="0">
      <selection activeCell="H5" sqref="H5"/>
    </sheetView>
  </sheetViews>
  <sheetFormatPr baseColWidth="8" defaultRowHeight="14.25"/>
  <cols>
    <col width="5.75" customWidth="1" min="1" max="1"/>
    <col width="15.875" bestFit="1" customWidth="1" min="2" max="2"/>
    <col width="7.75" customWidth="1" min="3" max="3"/>
    <col width="9.875" customWidth="1" min="4" max="4"/>
    <col width="31.75" customWidth="1" min="5" max="5"/>
    <col width="39.25" customWidth="1" min="6" max="6"/>
    <col width="38.25" customWidth="1" min="7" max="7"/>
    <col width="42.25" customWidth="1" min="8" max="8"/>
    <col width="14.5" customWidth="1" min="9" max="9"/>
    <col width="11.125" customWidth="1" min="10" max="15"/>
    <col width="15.875" bestFit="1" customWidth="1" min="16" max="16"/>
    <col width="15.375" customWidth="1" min="17" max="17"/>
    <col width="11.375" bestFit="1" customWidth="1" min="19" max="19"/>
  </cols>
  <sheetData>
    <row r="1" ht="24" customHeight="1">
      <c r="A1" s="1" t="inlineStr">
        <is>
          <t>4 Keys รวมทุกบ้าน</t>
        </is>
      </c>
    </row>
    <row r="2" customFormat="1" s="3">
      <c r="A2" s="388" t="inlineStr">
        <is>
          <t>No.</t>
        </is>
      </c>
      <c r="B2" s="388" t="inlineStr">
        <is>
          <t>กลุ่มสินค้า</t>
        </is>
      </c>
      <c r="C2" s="388" t="inlineStr">
        <is>
          <t>ตลาด</t>
        </is>
      </c>
      <c r="D2" s="389" t="inlineStr">
        <is>
          <t>ไตรมาสที่</t>
        </is>
      </c>
      <c r="E2" s="390" t="inlineStr">
        <is>
          <t>Best Practice</t>
        </is>
      </c>
      <c r="F2" s="391" t="inlineStr">
        <is>
          <t>Key learning</t>
        </is>
      </c>
      <c r="G2" s="392" t="inlineStr">
        <is>
          <t>Lesson Learn</t>
        </is>
      </c>
      <c r="H2" s="393" t="inlineStr">
        <is>
          <t>Failure</t>
        </is>
      </c>
    </row>
    <row r="3" ht="83.25" customFormat="1" customHeight="1" s="402">
      <c r="A3" s="395" t="n"/>
      <c r="B3" s="396" t="n"/>
      <c r="C3" s="397" t="n"/>
      <c r="D3" s="398" t="n"/>
      <c r="E3" s="399" t="n"/>
      <c r="F3" s="400" t="n"/>
      <c r="G3" s="401" t="n"/>
      <c r="H3" s="399" t="n"/>
    </row>
    <row r="4" ht="92.25" customFormat="1" customHeight="1" s="402">
      <c r="A4" s="395" t="n"/>
      <c r="B4" s="396" t="n"/>
      <c r="C4" s="397" t="n"/>
      <c r="D4" s="398" t="n"/>
      <c r="E4" s="399" t="n"/>
      <c r="F4" s="400" t="n"/>
      <c r="G4" s="401" t="n"/>
      <c r="H4" s="399" t="n"/>
    </row>
    <row r="5" ht="38.25" customFormat="1" customHeight="1" s="405">
      <c r="A5" s="403" t="n"/>
      <c r="B5" s="403" t="n"/>
      <c r="C5" s="403" t="n"/>
      <c r="D5" s="403" t="n"/>
      <c r="E5" s="403" t="n"/>
      <c r="F5" s="403" t="n"/>
      <c r="G5" s="403" t="n"/>
      <c r="H5" s="403" t="n"/>
    </row>
    <row r="6" ht="60" customFormat="1" customHeight="1" s="405">
      <c r="A6" s="404" t="n"/>
      <c r="B6" s="404" t="n"/>
      <c r="C6" s="404" t="n"/>
      <c r="D6" s="404" t="n"/>
      <c r="E6" s="425" t="n"/>
      <c r="F6" s="425" t="n"/>
      <c r="G6" s="426" t="n"/>
      <c r="H6" s="430" t="n"/>
    </row>
    <row r="7" ht="70.5" customHeight="1">
      <c r="A7" s="35" t="n"/>
      <c r="B7" s="404" t="n"/>
      <c r="C7" s="404" t="n"/>
      <c r="D7" s="404" t="n"/>
      <c r="E7" s="427" t="n"/>
      <c r="F7" s="427" t="n"/>
      <c r="G7" s="428" t="n"/>
      <c r="H7" s="429" t="n"/>
    </row>
    <row r="8" ht="70.5" customHeight="1">
      <c r="A8" s="35" t="n"/>
      <c r="B8" s="404" t="n"/>
      <c r="C8" s="404" t="n"/>
      <c r="D8" s="404" t="n"/>
      <c r="E8" s="427" t="n"/>
      <c r="F8" s="427" t="n"/>
      <c r="G8" s="428" t="n"/>
      <c r="H8" s="429" t="n"/>
    </row>
    <row r="9" ht="88.5" customHeight="1">
      <c r="A9" s="35" t="n"/>
      <c r="B9" s="404" t="n"/>
      <c r="C9" s="404" t="n"/>
      <c r="D9" s="404" t="n"/>
      <c r="E9" s="427" t="n"/>
      <c r="F9" s="427" t="n"/>
      <c r="G9" s="428" t="n"/>
      <c r="H9" s="429" t="n"/>
    </row>
    <row r="10" ht="85.5" customHeight="1">
      <c r="A10" s="35" t="n"/>
      <c r="B10" s="356" t="n"/>
      <c r="C10" s="356" t="n"/>
      <c r="D10" s="35" t="n"/>
      <c r="E10" s="427" t="n"/>
      <c r="F10" s="427" t="n"/>
      <c r="G10" s="438" t="n"/>
      <c r="H10" s="437" t="n"/>
    </row>
    <row r="11" ht="89.25" customHeight="1">
      <c r="A11" s="35" t="n"/>
      <c r="B11" s="356" t="n"/>
      <c r="C11" s="356" t="n"/>
      <c r="D11" s="35" t="n"/>
      <c r="E11" s="437" t="n"/>
      <c r="F11" s="437" t="n"/>
      <c r="G11" s="439" t="n"/>
      <c r="H11" s="440" t="n"/>
    </row>
    <row r="12" ht="38.25" customHeight="1">
      <c r="A12" s="35" t="n"/>
      <c r="B12" s="356" t="n"/>
      <c r="C12" s="356" t="n"/>
      <c r="D12" s="35" t="n"/>
      <c r="E12" s="357" t="n"/>
      <c r="F12" s="364" t="n"/>
      <c r="G12" s="365" t="n"/>
      <c r="H12" s="35" t="n"/>
    </row>
    <row r="13" ht="38.25" customHeight="1">
      <c r="A13" s="35" t="n"/>
      <c r="B13" s="356" t="n"/>
      <c r="C13" s="356" t="n"/>
      <c r="D13" s="35" t="n"/>
      <c r="E13" s="357" t="n"/>
      <c r="F13" s="364" t="n"/>
      <c r="G13" s="365" t="n"/>
      <c r="H13" s="35" t="n"/>
    </row>
    <row r="14" ht="17.25" customHeight="1">
      <c r="A14" s="35" t="n"/>
      <c r="B14" s="356" t="n"/>
      <c r="C14" s="356" t="n"/>
      <c r="D14" s="35" t="n"/>
      <c r="E14" s="357" t="n"/>
      <c r="F14" s="358" t="n"/>
      <c r="G14" s="359" t="n"/>
      <c r="H14" s="363" t="n"/>
    </row>
    <row r="15" ht="17.25" customHeight="1">
      <c r="A15" s="35" t="n"/>
      <c r="B15" s="356" t="n"/>
      <c r="C15" s="356" t="n"/>
      <c r="D15" s="35" t="n"/>
      <c r="E15" s="357" t="n"/>
      <c r="F15" s="364" t="n"/>
      <c r="G15" s="365" t="n"/>
      <c r="H15" s="35" t="n"/>
    </row>
    <row r="16" ht="17.25" customHeight="1">
      <c r="A16" s="35" t="n"/>
      <c r="B16" s="356" t="n"/>
      <c r="C16" s="356" t="n"/>
      <c r="D16" s="35" t="n"/>
      <c r="E16" s="357" t="n"/>
      <c r="F16" s="364" t="n"/>
      <c r="G16" s="365" t="n"/>
      <c r="H16" s="35" t="n"/>
    </row>
    <row r="17" ht="17.25" customHeight="1">
      <c r="A17" s="35" t="n"/>
      <c r="B17" s="356" t="n"/>
      <c r="C17" s="356" t="n"/>
      <c r="D17" s="35" t="n"/>
      <c r="E17" s="357" t="n"/>
      <c r="F17" s="364" t="n"/>
      <c r="G17" s="365" t="n"/>
      <c r="H17" s="35" t="n"/>
    </row>
    <row r="18">
      <c r="G18" s="338" t="n"/>
    </row>
  </sheetData>
  <pageMargins left="0.7" right="0.7" top="0.75" bottom="0.75" header="0.3" footer="0.3"/>
  <pageSetup orientation="portrait" paperSize="9" scale="3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C20"/>
  <sheetViews>
    <sheetView workbookViewId="0">
      <selection activeCell="L20" sqref="L20"/>
    </sheetView>
  </sheetViews>
  <sheetFormatPr baseColWidth="8" defaultRowHeight="14.25"/>
  <sheetData>
    <row r="3">
      <c r="A3" s="653" t="n"/>
      <c r="B3" s="654" t="n"/>
      <c r="C3" s="655" t="n"/>
    </row>
    <row r="4">
      <c r="A4" s="656" t="n"/>
      <c r="B4" s="657" t="n"/>
      <c r="C4" s="658" t="n"/>
    </row>
    <row r="5">
      <c r="A5" s="656" t="n"/>
      <c r="B5" s="657" t="n"/>
      <c r="C5" s="658" t="n"/>
    </row>
    <row r="6">
      <c r="A6" s="656" t="n"/>
      <c r="B6" s="657" t="n"/>
      <c r="C6" s="658" t="n"/>
    </row>
    <row r="7">
      <c r="A7" s="656" t="n"/>
      <c r="B7" s="657" t="n"/>
      <c r="C7" s="658" t="n"/>
    </row>
    <row r="8">
      <c r="A8" s="656" t="n"/>
      <c r="B8" s="657" t="n"/>
      <c r="C8" s="658" t="n"/>
    </row>
    <row r="9">
      <c r="A9" s="656" t="n"/>
      <c r="B9" s="657" t="n"/>
      <c r="C9" s="658" t="n"/>
    </row>
    <row r="10">
      <c r="A10" s="656" t="n"/>
      <c r="B10" s="657" t="n"/>
      <c r="C10" s="658" t="n"/>
    </row>
    <row r="11">
      <c r="A11" s="656" t="n"/>
      <c r="B11" s="657" t="n"/>
      <c r="C11" s="658" t="n"/>
    </row>
    <row r="12">
      <c r="A12" s="656" t="n"/>
      <c r="B12" s="657" t="n"/>
      <c r="C12" s="658" t="n"/>
    </row>
    <row r="13">
      <c r="A13" s="656" t="n"/>
      <c r="B13" s="657" t="n"/>
      <c r="C13" s="658" t="n"/>
    </row>
    <row r="14">
      <c r="A14" s="656" t="n"/>
      <c r="B14" s="657" t="n"/>
      <c r="C14" s="658" t="n"/>
    </row>
    <row r="15">
      <c r="A15" s="656" t="n"/>
      <c r="B15" s="657" t="n"/>
      <c r="C15" s="658" t="n"/>
    </row>
    <row r="16">
      <c r="A16" s="656" t="n"/>
      <c r="B16" s="657" t="n"/>
      <c r="C16" s="658" t="n"/>
    </row>
    <row r="17">
      <c r="A17" s="656" t="n"/>
      <c r="B17" s="657" t="n"/>
      <c r="C17" s="658" t="n"/>
    </row>
    <row r="18">
      <c r="A18" s="656" t="n"/>
      <c r="B18" s="657" t="n"/>
      <c r="C18" s="658" t="n"/>
    </row>
    <row r="19">
      <c r="A19" s="656" t="n"/>
      <c r="B19" s="657" t="n"/>
      <c r="C19" s="658" t="n"/>
    </row>
    <row r="20">
      <c r="A20" s="659" t="n"/>
      <c r="B20" s="660" t="n"/>
      <c r="C20" s="661" t="n"/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Tanawan Wiriyadamrikul</dc:creator>
  <dcterms:created xsi:type="dcterms:W3CDTF">2021-10-29T09:42:02Z</dcterms:created>
  <dcterms:modified xsi:type="dcterms:W3CDTF">2026-06-02T02:20:44Z</dcterms:modified>
  <cp:lastModifiedBy>Tanawan &lt;June&gt; Wiriyadamrikul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0x010100D63C7FF56775A14BBBEEBD6364785E58</vt:lpwstr>
  </property>
  <property name="MediaServiceImageTags" fmtid="{D5CDD505-2E9C-101B-9397-08002B2CF9AE}" pid="3">
    <vt:lpwstr/>
  </property>
</Properties>
</file>